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Postdoc\City_BIPV\Nexus\OpenCode\BIPV-Climate-Energy-main\BIPV-Climate-Energy-main\"/>
    </mc:Choice>
  </mc:AlternateContent>
  <xr:revisionPtr revIDLastSave="0" documentId="13_ncr:1_{C185AF85-11E0-435E-83C2-4EA87790FC9B}" xr6:coauthVersionLast="47" xr6:coauthVersionMax="47" xr10:uidLastSave="{00000000-0000-0000-0000-000000000000}"/>
  <bookViews>
    <workbookView xWindow="-98" yWindow="-98" windowWidth="21795" windowHeight="12975" activeTab="3" xr2:uid="{00000000-000D-0000-FFFF-FFFF00000000}"/>
  </bookViews>
  <sheets>
    <sheet name="LCZ" sheetId="2" r:id="rId1"/>
    <sheet name="Materials" sheetId="5" r:id="rId2"/>
    <sheet name="Internal heat gains" sheetId="6" r:id="rId3"/>
    <sheet name="Hourly schedules" sheetId="8" r:id="rId4"/>
  </sheets>
  <externalReferences>
    <externalReference r:id="rId5"/>
  </externalReferences>
  <definedNames>
    <definedName name="hHdrOA">#REF!</definedName>
    <definedName name="OA_By_Zone">#REF!</definedName>
    <definedName name="tbl_OA">#REF!</definedName>
    <definedName name="tblDcv90_1_2022">[1]DCV_90.1_2022!$D$2:$K$11</definedName>
    <definedName name="tblDcvIECC_2024">[1]DCV_90.1_2022!$D$14:$J$17</definedName>
    <definedName name="tblPeopleData">#REF!</definedName>
    <definedName name="tblZoneAre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3" i="5" l="1"/>
  <c r="E159" i="5"/>
  <c r="E154" i="5"/>
  <c r="E156" i="5"/>
  <c r="E150" i="5"/>
  <c r="E152" i="5"/>
  <c r="E167" i="5"/>
  <c r="E166" i="5"/>
  <c r="E140" i="5"/>
  <c r="E136" i="5"/>
  <c r="E131" i="5"/>
  <c r="E133" i="5"/>
  <c r="E127" i="5"/>
  <c r="E129" i="5"/>
  <c r="E144" i="5"/>
  <c r="E143" i="5"/>
  <c r="E121" i="5"/>
  <c r="E120" i="5"/>
  <c r="E117" i="5"/>
  <c r="E113" i="5"/>
  <c r="E110" i="5"/>
  <c r="E108" i="5"/>
  <c r="E106" i="5"/>
  <c r="E104" i="5"/>
  <c r="E98" i="5"/>
  <c r="E97" i="5"/>
  <c r="E94" i="5"/>
  <c r="E90" i="5"/>
  <c r="E87" i="5"/>
  <c r="E85" i="5"/>
  <c r="E83" i="5"/>
  <c r="E81" i="5"/>
  <c r="E80" i="5"/>
  <c r="E74" i="5"/>
  <c r="E73" i="5"/>
  <c r="E70" i="5"/>
  <c r="E66" i="5"/>
  <c r="E63" i="5"/>
  <c r="E61" i="5"/>
  <c r="E59" i="5"/>
  <c r="E57" i="5"/>
  <c r="E28" i="5"/>
  <c r="E27" i="5"/>
  <c r="E24" i="5"/>
  <c r="E20" i="5"/>
  <c r="E17" i="5"/>
  <c r="E15" i="5"/>
  <c r="E13" i="5"/>
  <c r="E11" i="5"/>
  <c r="E10" i="5"/>
  <c r="E51" i="5"/>
  <c r="E50" i="5"/>
  <c r="E47" i="5"/>
  <c r="E43" i="5"/>
  <c r="E40" i="5"/>
  <c r="E38" i="5"/>
  <c r="E36" i="5"/>
  <c r="E34" i="5"/>
  <c r="G9" i="2"/>
  <c r="E10" i="2"/>
  <c r="C10" i="2"/>
  <c r="B9" i="2"/>
  <c r="H10" i="2"/>
  <c r="G10" i="2"/>
  <c r="F10" i="2"/>
  <c r="D10" i="2"/>
  <c r="B10" i="2"/>
  <c r="C9" i="2"/>
  <c r="D9" i="2"/>
  <c r="E9" i="2"/>
  <c r="F9" i="2"/>
  <c r="H9" i="2"/>
</calcChain>
</file>

<file path=xl/sharedStrings.xml><?xml version="1.0" encoding="utf-8"?>
<sst xmlns="http://schemas.openxmlformats.org/spreadsheetml/2006/main" count="844" uniqueCount="180">
  <si>
    <t>LCZ1</t>
  </si>
  <si>
    <t>LCZ2</t>
  </si>
  <si>
    <t>LCZ3</t>
  </si>
  <si>
    <t>LCZ4</t>
  </si>
  <si>
    <t>LCZ5</t>
  </si>
  <si>
    <t>LCZ6</t>
  </si>
  <si>
    <t>LCZ8</t>
  </si>
  <si>
    <t>Compact high-rise</t>
  </si>
  <si>
    <t>Compact midrise</t>
  </si>
  <si>
    <t>Compact low-rise</t>
  </si>
  <si>
    <t>Open high-rise</t>
  </si>
  <si>
    <t>Open low-rise</t>
  </si>
  <si>
    <t>Large low-rise</t>
  </si>
  <si>
    <t>Fraction of ground [normal, grass] (-)</t>
  </si>
  <si>
    <t>[0.7, 0.3]</t>
  </si>
  <si>
    <t>[0.78, 0.22]</t>
  </si>
  <si>
    <t>[0.85, 0.15]</t>
  </si>
  <si>
    <t>[0.31, 0.69]</t>
  </si>
  <si>
    <t>[0.39, 0.61]</t>
  </si>
  <si>
    <t>[0.19, 0.81]</t>
  </si>
  <si>
    <t>[0.68, 0.32]</t>
  </si>
  <si>
    <t>Momentum roughness length above roof (m)</t>
  </si>
  <si>
    <t>Roughness length for heat for roof (m)</t>
  </si>
  <si>
    <t>Number of floors (-)
(used for internal heat gains estimation)</t>
  </si>
  <si>
    <t>Roughness length for heat for canyon (m)</t>
  </si>
  <si>
    <t>Momentum roughness length above canyon (m)</t>
  </si>
  <si>
    <t>[0.95, 0.93]</t>
  </si>
  <si>
    <t>Ground albedo (-)</t>
  </si>
  <si>
    <t>Ground emissivity (-)</t>
  </si>
  <si>
    <t>[0.15, 0.15]</t>
  </si>
  <si>
    <t>Ground heat capacity (MJ/K/m3)</t>
  </si>
  <si>
    <t>[1.8, 1.3]</t>
  </si>
  <si>
    <t>[0.8, 2.0]</t>
  </si>
  <si>
    <t>Pervious surface fraction (%)</t>
  </si>
  <si>
    <t>Impervious surface fraction (%)</t>
  </si>
  <si>
    <t>Building height (m)</t>
  </si>
  <si>
    <t>Road width (m)</t>
  </si>
  <si>
    <t>Building width (m)</t>
  </si>
  <si>
    <t>Office</t>
  </si>
  <si>
    <t>Residential</t>
  </si>
  <si>
    <t>Retail</t>
  </si>
  <si>
    <t>School</t>
  </si>
  <si>
    <t>Hotel</t>
  </si>
  <si>
    <t>Hospital</t>
  </si>
  <si>
    <t>Industry</t>
  </si>
  <si>
    <t>Window-to-wall ratio (WWR)</t>
  </si>
  <si>
    <t>Value</t>
  </si>
  <si>
    <t>Elements</t>
  </si>
  <si>
    <t>Roughness</t>
    <phoneticPr fontId="2" type="noConversion"/>
  </si>
  <si>
    <t>Thickness (m)</t>
  </si>
  <si>
    <t>Conductivity (W/(mK))</t>
  </si>
  <si>
    <t>Specific heat (J/(kgK))</t>
  </si>
  <si>
    <t>200mm Normalweight concrete wall</t>
    <phoneticPr fontId="2" type="noConversion"/>
  </si>
  <si>
    <t>MediumRough</t>
    <phoneticPr fontId="2" type="noConversion"/>
  </si>
  <si>
    <t>Nonres_Exterior_Wall_Insulation</t>
    <phoneticPr fontId="2" type="noConversion"/>
  </si>
  <si>
    <t>MediumSmooth</t>
    <phoneticPr fontId="2" type="noConversion"/>
  </si>
  <si>
    <t>G01 13mm gypsum board</t>
  </si>
  <si>
    <t>Smooth</t>
    <phoneticPr fontId="2" type="noConversion"/>
  </si>
  <si>
    <t>F13 Built-up roofing</t>
    <phoneticPr fontId="2" type="noConversion"/>
  </si>
  <si>
    <t>Rough</t>
    <phoneticPr fontId="2" type="noConversion"/>
  </si>
  <si>
    <t>/</t>
    <phoneticPr fontId="2" type="noConversion"/>
  </si>
  <si>
    <t>Nonres_Roof_Insulation</t>
  </si>
  <si>
    <t>F08 Metal surface</t>
    <phoneticPr fontId="2" type="noConversion"/>
  </si>
  <si>
    <t>Nonres_Floor_Insulation</t>
    <phoneticPr fontId="2" type="noConversion"/>
  </si>
  <si>
    <t>100mm Normalweight concrete floor</t>
  </si>
  <si>
    <t>CP02 CARPET PAD</t>
  </si>
  <si>
    <t>VeryRough</t>
    <phoneticPr fontId="2" type="noConversion"/>
  </si>
  <si>
    <t>CP02 CARPET PAD</t>
    <phoneticPr fontId="2" type="noConversion"/>
  </si>
  <si>
    <t>VeryRough</t>
  </si>
  <si>
    <t>100mm Normalweight concrete floor</t>
    <phoneticPr fontId="2" type="noConversion"/>
  </si>
  <si>
    <t>G01 13mm gypsum board</t>
    <phoneticPr fontId="2" type="noConversion"/>
  </si>
  <si>
    <t>Smooth</t>
  </si>
  <si>
    <t xml:space="preserve">Thermal resistance (Km2/W) </t>
  </si>
  <si>
    <t>Visible reflectance (-)</t>
  </si>
  <si>
    <t>Albedo (-)</t>
  </si>
  <si>
    <t>Emissivity (-)</t>
  </si>
  <si>
    <t>Open mid-rise</t>
  </si>
  <si>
    <t>Building type</t>
  </si>
  <si>
    <r>
      <t>Density (kg/m</t>
    </r>
    <r>
      <rPr>
        <vertAlign val="superscript"/>
        <sz val="11"/>
        <color theme="1"/>
        <rFont val="Times New Roman"/>
        <family val="1"/>
      </rPr>
      <t>3</t>
    </r>
    <r>
      <rPr>
        <sz val="11"/>
        <color theme="1"/>
        <rFont val="Times New Roman"/>
        <family val="1"/>
      </rPr>
      <t>)</t>
    </r>
  </si>
  <si>
    <r>
      <t>Exterior Roof</t>
    </r>
    <r>
      <rPr>
        <sz val="11"/>
        <color theme="1"/>
        <rFont val="Times New Roman"/>
        <family val="1"/>
      </rPr>
      <t xml:space="preserve"> (F13 Built-up roofing + Nonres_Roof_Insulation + F08 Metal surface)</t>
    </r>
  </si>
  <si>
    <r>
      <t>Ceiling</t>
    </r>
    <r>
      <rPr>
        <sz val="11"/>
        <color theme="1"/>
        <rFont val="Times New Roman"/>
        <family val="1"/>
      </rPr>
      <t xml:space="preserve"> (CP02 CARPET PAD + 100mm Normalweight concrete floor + Nonres_Floor_Insulation)</t>
    </r>
  </si>
  <si>
    <r>
      <t>Partition</t>
    </r>
    <r>
      <rPr>
        <sz val="11"/>
        <color theme="1"/>
        <rFont val="Times New Roman"/>
        <family val="1"/>
      </rPr>
      <t xml:space="preserve"> (G01 13mm gypsum board + G01 13mm gypsum board)</t>
    </r>
  </si>
  <si>
    <t>F07 25mm stucco</t>
    <phoneticPr fontId="2" type="noConversion"/>
  </si>
  <si>
    <t>G01 16mm gypsum board</t>
    <phoneticPr fontId="2" type="noConversion"/>
  </si>
  <si>
    <t>Nonres_Roof_Insulation</t>
    <phoneticPr fontId="2" type="noConversion"/>
  </si>
  <si>
    <r>
      <t>Exterior Walls</t>
    </r>
    <r>
      <rPr>
        <sz val="11"/>
        <color theme="1"/>
        <rFont val="Times New Roman"/>
        <family val="1"/>
      </rPr>
      <t xml:space="preserve"> (F07 25mm stucco + G01 16mm gypsum board + Nonres_Exterior_Wall_Insulation + G01 16mm gypsum board)</t>
    </r>
  </si>
  <si>
    <r>
      <t>Floor</t>
    </r>
    <r>
      <rPr>
        <sz val="11"/>
        <color theme="1"/>
        <rFont val="Times New Roman"/>
        <family val="1"/>
      </rPr>
      <t xml:space="preserve"> (Res_Floor_Insulation + 100mm Normalweight concrete floor + CP02 CARPET PAD)</t>
    </r>
  </si>
  <si>
    <r>
      <t>Density (kg/m</t>
    </r>
    <r>
      <rPr>
        <vertAlign val="superscript"/>
        <sz val="11"/>
        <color theme="1"/>
        <rFont val="Calibri"/>
        <family val="2"/>
        <scheme val="minor"/>
      </rPr>
      <t>3</t>
    </r>
    <r>
      <rPr>
        <sz val="11"/>
        <color theme="1"/>
        <rFont val="Calibri"/>
        <family val="2"/>
        <scheme val="minor"/>
      </rPr>
      <t>)</t>
    </r>
  </si>
  <si>
    <r>
      <t>Exterior Walls</t>
    </r>
    <r>
      <rPr>
        <sz val="11"/>
        <color theme="1"/>
        <rFont val="Calibri"/>
        <family val="2"/>
        <scheme val="minor"/>
      </rPr>
      <t xml:space="preserve"> (200mm Normalweight concrete wall + Nonres_Exterior_Wall_Insulation + G01 13mm gypsum board)</t>
    </r>
  </si>
  <si>
    <r>
      <t>Exterior Roof</t>
    </r>
    <r>
      <rPr>
        <sz val="11"/>
        <color theme="1"/>
        <rFont val="Calibri"/>
        <family val="2"/>
        <scheme val="minor"/>
      </rPr>
      <t xml:space="preserve"> (F13 Built-up roofing + Nonres_Roof_Insulation + F08 Metal surface)</t>
    </r>
  </si>
  <si>
    <r>
      <t>Floor</t>
    </r>
    <r>
      <rPr>
        <sz val="11"/>
        <color theme="1"/>
        <rFont val="Calibri"/>
        <family val="2"/>
        <scheme val="minor"/>
      </rPr>
      <t xml:space="preserve"> (Nonres_Floor_Insulation + 100mm Normalweight concrete floor + CP02 CARPET PAD)</t>
    </r>
  </si>
  <si>
    <r>
      <t>Ceiling</t>
    </r>
    <r>
      <rPr>
        <sz val="11"/>
        <color theme="1"/>
        <rFont val="Calibri"/>
        <family val="2"/>
        <scheme val="minor"/>
      </rPr>
      <t xml:space="preserve"> (CP02 CARPET PAD + 100mm Normalweight concrete floor + Nonres_Floor_Insulation)</t>
    </r>
  </si>
  <si>
    <r>
      <t>Partition</t>
    </r>
    <r>
      <rPr>
        <sz val="11"/>
        <color theme="1"/>
        <rFont val="Calibri"/>
        <family val="2"/>
        <scheme val="minor"/>
      </rPr>
      <t xml:space="preserve"> (G01 13mm gypsum board + G01 13mm gypsum board)</t>
    </r>
  </si>
  <si>
    <t>/</t>
  </si>
  <si>
    <t xml:space="preserve"> /</t>
  </si>
  <si>
    <t xml:space="preserve">/ </t>
  </si>
  <si>
    <t>Roof albedo (-)</t>
  </si>
  <si>
    <t>Roof emissivity (-)</t>
  </si>
  <si>
    <t>Wall albedo (-)</t>
  </si>
  <si>
    <t>Wall emissivity (-)</t>
  </si>
  <si>
    <t>Roof thickness (m)</t>
  </si>
  <si>
    <t>Roof heat capacity (MJ/K/m3)</t>
  </si>
  <si>
    <t>Ground thermal conductivity (W/K/m)</t>
  </si>
  <si>
    <t>Wall thickness (m)</t>
  </si>
  <si>
    <t>Wall heat capacity (MJ/K/m3)</t>
  </si>
  <si>
    <t>LCZ Parameters (used in BEM-SLUCM)</t>
  </si>
  <si>
    <t>200mm Normalweight concrete wall</t>
    <phoneticPr fontId="3" type="noConversion"/>
  </si>
  <si>
    <t>MediumRough</t>
    <phoneticPr fontId="3" type="noConversion"/>
  </si>
  <si>
    <t>Nonres_Exterior_Wall_Insulation</t>
    <phoneticPr fontId="3" type="noConversion"/>
  </si>
  <si>
    <t>MediumSmooth</t>
    <phoneticPr fontId="3" type="noConversion"/>
  </si>
  <si>
    <t>Smooth</t>
    <phoneticPr fontId="3" type="noConversion"/>
  </si>
  <si>
    <t>F13 Built-up roofing</t>
    <phoneticPr fontId="3" type="noConversion"/>
  </si>
  <si>
    <t>Rough</t>
    <phoneticPr fontId="3" type="noConversion"/>
  </si>
  <si>
    <t>/</t>
    <phoneticPr fontId="3" type="noConversion"/>
  </si>
  <si>
    <t>Nonres_Roof_Insulation</t>
    <phoneticPr fontId="3" type="noConversion"/>
  </si>
  <si>
    <t>F08 Metal surface</t>
    <phoneticPr fontId="3" type="noConversion"/>
  </si>
  <si>
    <t>Nonres_Floor_Insulation</t>
    <phoneticPr fontId="3" type="noConversion"/>
  </si>
  <si>
    <t>VeryRough</t>
    <phoneticPr fontId="3" type="noConversion"/>
  </si>
  <si>
    <t>CP02 CARPET PAD</t>
    <phoneticPr fontId="3" type="noConversion"/>
  </si>
  <si>
    <t>100mm Normalweight concrete floor</t>
    <phoneticPr fontId="3" type="noConversion"/>
  </si>
  <si>
    <t>Res_Floor_Insulation</t>
    <phoneticPr fontId="3" type="noConversion"/>
  </si>
  <si>
    <t>G01 13mm gypsum board</t>
    <phoneticPr fontId="3" type="noConversion"/>
  </si>
  <si>
    <r>
      <t>Density (kg/m</t>
    </r>
    <r>
      <rPr>
        <vertAlign val="superscript"/>
        <sz val="11"/>
        <color theme="1"/>
        <rFont val="Calibri"/>
        <family val="2"/>
        <scheme val="minor"/>
      </rPr>
      <t>3</t>
    </r>
    <r>
      <rPr>
        <sz val="11"/>
        <color theme="1"/>
        <rFont val="Calibri"/>
        <family val="2"/>
        <scheme val="minor"/>
      </rPr>
      <t>)</t>
    </r>
  </si>
  <si>
    <r>
      <t>Exterior Walls</t>
    </r>
    <r>
      <rPr>
        <sz val="11"/>
        <color theme="1"/>
        <rFont val="Calibri"/>
        <family val="2"/>
        <scheme val="minor"/>
      </rPr>
      <t xml:space="preserve"> (200mm Normalweight concrete wall + Nonres_Exterior_Wall_Insulation + G01 13mm gypsum board)</t>
    </r>
  </si>
  <si>
    <r>
      <t>Exterior Roof</t>
    </r>
    <r>
      <rPr>
        <sz val="11"/>
        <color theme="1"/>
        <rFont val="Calibri"/>
        <family val="2"/>
        <scheme val="minor"/>
      </rPr>
      <t xml:space="preserve"> (F13 Built-up roofing + Nonres_Roof_Insulation + F08 Metal surface)</t>
    </r>
  </si>
  <si>
    <r>
      <t>Floor</t>
    </r>
    <r>
      <rPr>
        <sz val="11"/>
        <color theme="1"/>
        <rFont val="Calibri"/>
        <family val="2"/>
        <scheme val="minor"/>
      </rPr>
      <t xml:space="preserve"> (Res_Floor_Insulation + 100mm Normalweight concrete floor + CP02 CARPET PAD)</t>
    </r>
  </si>
  <si>
    <r>
      <t>Ceiling</t>
    </r>
    <r>
      <rPr>
        <sz val="11"/>
        <color theme="1"/>
        <rFont val="Calibri"/>
        <family val="2"/>
        <scheme val="minor"/>
      </rPr>
      <t xml:space="preserve"> (CP02 CARPET PAD + 100mm Normalweight concrete floor + Nonres_Floor_Insulation)</t>
    </r>
  </si>
  <si>
    <r>
      <t>Partition</t>
    </r>
    <r>
      <rPr>
        <sz val="11"/>
        <color theme="1"/>
        <rFont val="Calibri"/>
        <family val="2"/>
        <scheme val="minor"/>
      </rPr>
      <t xml:space="preserve"> (G01 13mm gypsum board + G01 13mm gypsum board)</t>
    </r>
  </si>
  <si>
    <t>For more details about the window-to-wall ratio, and thermal properties of walls and roofs, please refer to the content in the sheet (Materials), as the values vary for different building types.</t>
  </si>
  <si>
    <t>For missing LCZ types (LCZ 7, 9, 10), please use LCZ 7≈LCZ 6, LCZ9≈LCZ 6, LCZ 10≈LCZ 8 to calculate.</t>
  </si>
  <si>
    <t>F07 25mm stucco</t>
    <phoneticPr fontId="3" type="noConversion"/>
  </si>
  <si>
    <t>G01 16mm gypsum board</t>
    <phoneticPr fontId="3" type="noConversion"/>
  </si>
  <si>
    <r>
      <t>Exterior Walls</t>
    </r>
    <r>
      <rPr>
        <sz val="11"/>
        <color theme="1"/>
        <rFont val="Calibri"/>
        <family val="2"/>
        <scheme val="minor"/>
      </rPr>
      <t xml:space="preserve"> (F07 25mm stucco + G01 16mm gypsum board + Nonres_Exterior_Wall_Insulation + G01 16mm gypsum board)</t>
    </r>
  </si>
  <si>
    <t>The specific parameters of each material layer in the table below are inputs for GeoBEM.</t>
  </si>
  <si>
    <t>*The window-to-wall ratio (WWR) is used in both BEM-SLUCM and GeoBEM.</t>
  </si>
  <si>
    <t>Building types</t>
  </si>
  <si>
    <t>Occupant heat gains</t>
  </si>
  <si>
    <t xml:space="preserve">Occupancy density </t>
  </si>
  <si>
    <t>Lighting power intensity</t>
  </si>
  <si>
    <t>Equipment power intensity</t>
  </si>
  <si>
    <t>Infiltration rate</t>
  </si>
  <si>
    <t>Cooling setpoint</t>
  </si>
  <si>
    <t>Heating setpoint</t>
  </si>
  <si>
    <t>Sensible (W/person)</t>
  </si>
  <si>
    <t>Latent (W/person)</t>
  </si>
  <si>
    <t>m^2/person</t>
  </si>
  <si>
    <t>W/m^2</t>
  </si>
  <si>
    <t>L/s·person</t>
  </si>
  <si>
    <t>ACH</t>
  </si>
  <si>
    <t>Residential</t>
    <phoneticPr fontId="11" type="noConversion"/>
  </si>
  <si>
    <t>0.5 (AC), 3 (Non-AC)</t>
    <phoneticPr fontId="11" type="noConversion"/>
  </si>
  <si>
    <t>0.1 (AC), 0.5 (Non-AC)</t>
    <phoneticPr fontId="11" type="noConversion"/>
  </si>
  <si>
    <r>
      <rPr>
        <sz val="11"/>
        <color theme="1"/>
        <rFont val="Calibri"/>
        <family val="2"/>
        <scheme val="minor"/>
      </rPr>
      <t>°C</t>
    </r>
  </si>
  <si>
    <t>Ventilation rate 
(Efficiency = 0.75)</t>
  </si>
  <si>
    <t>Reference: 2001 ASHRAE Fundamentals Handbook; GB50189-2015; BEAM Plus New Buildings Version 2.0 
https://www.hkgbc.org.hk/eng/beam-plus/file/BEAMPlus_New_Buildings_v2_0.pdf; Code of Practice for Energy Efficiency of Building Services Installation https://www.emsd.gov.hk/beeo/en/pee/BEC_2021.pdf</t>
  </si>
  <si>
    <t>Light (%)</t>
  </si>
  <si>
    <t>Equip (%)</t>
  </si>
  <si>
    <t>Occup (%)</t>
  </si>
  <si>
    <t>Cooling setpoint (°C)</t>
  </si>
  <si>
    <t>OFF</t>
  </si>
  <si>
    <t>Heating setpoint (°C)</t>
  </si>
  <si>
    <t>Infiltration at non-AC months (ACH)</t>
  </si>
  <si>
    <t>Office (Weekdays)</t>
  </si>
  <si>
    <t>Light (Perimeter) (%)</t>
  </si>
  <si>
    <t>Light (Interior) (%)</t>
  </si>
  <si>
    <t>Infiltration rate (ACH)</t>
  </si>
  <si>
    <t>Ventilation operation (ON/OFF)</t>
  </si>
  <si>
    <t>ON</t>
  </si>
  <si>
    <t>Office (Saturdays)</t>
  </si>
  <si>
    <t>Office (Sundays)</t>
  </si>
  <si>
    <t>Schoold (Summer schedule)</t>
  </si>
  <si>
    <t>Schoold (No class)</t>
  </si>
  <si>
    <t>Hospital (Inpatient)</t>
  </si>
  <si>
    <t>Industry (Weekdays)</t>
  </si>
  <si>
    <t>Industry (Weekends)</t>
  </si>
  <si>
    <t>Hour</t>
  </si>
  <si>
    <t>Infiltration at AC months (ACH)*</t>
  </si>
  <si>
    <t>Schoold (Normal schedule)*</t>
  </si>
  <si>
    <t>*Residential building: The AC operation pattern applies to all days in April to October inclusive. The assumption is made that AC will not be used in other months in the year.</t>
  </si>
  <si>
    <t xml:space="preserve">*Summer schedule in the first two weeks in September and in May and Jun, and following the normal schedule for other school days. The weekends of school days and July to August follow no class schedule.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</si>
</sst>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theme="1"/>
      <name val="Calibri"/>
      <family val="2"/>
      <scheme val="minor"/>
    </font>
    <font>
      <sz val="11"/>
      <color theme="1"/>
      <name val="Calibri"/>
      <family val="2"/>
      <scheme val="minor"/>
    </font>
    <font>
      <sz val="12"/>
      <name val="宋体"/>
    </font>
    <font>
      <u/>
      <sz val="11"/>
      <color rgb="FF0000FF"/>
      <name val="Calibri"/>
      <family val="2"/>
      <scheme val="minor"/>
    </font>
    <font>
      <sz val="10"/>
      <color theme="1"/>
      <name val="Times New Roman"/>
      <family val="1"/>
    </font>
    <font>
      <b/>
      <sz val="11"/>
      <color theme="1"/>
      <name val="Calibri"/>
      <family val="2"/>
      <scheme val="minor"/>
    </font>
    <font>
      <sz val="9"/>
      <name val="Calibri"/>
      <family val="3"/>
      <charset val="134"/>
      <scheme val="minor"/>
    </font>
    <font>
      <sz val="12"/>
      <color theme="1"/>
      <name val="Calibri"/>
      <family val="2"/>
      <scheme val="minor"/>
    </font>
    <font>
      <sz val="11"/>
      <color theme="1"/>
      <name val="Times New Roman"/>
      <family val="1"/>
    </font>
    <font>
      <b/>
      <sz val="12"/>
      <color theme="1"/>
      <name val="Calibri"/>
      <family val="2"/>
      <scheme val="minor"/>
    </font>
    <font>
      <vertAlign val="superscript"/>
      <sz val="11"/>
      <color theme="1"/>
      <name val="Times New Roman"/>
      <family val="1"/>
    </font>
    <font>
      <b/>
      <sz val="11"/>
      <color theme="1"/>
      <name val="Times New Roman"/>
      <family val="1"/>
    </font>
    <font>
      <vertAlign val="superscript"/>
      <sz val="11"/>
      <color theme="1"/>
      <name val="Calibri"/>
      <family val="2"/>
      <scheme val="minor"/>
    </font>
    <font>
      <sz val="11"/>
      <name val="Calibri"/>
      <family val="2"/>
      <scheme val="minor"/>
    </font>
    <font>
      <b/>
      <sz val="12"/>
      <color rgb="FFFF0000"/>
      <name val="Calibri"/>
      <family val="2"/>
      <scheme val="minor"/>
    </font>
  </fonts>
  <fills count="3">
    <fill>
      <patternFill patternType="none"/>
    </fill>
    <fill>
      <patternFill patternType="gray125"/>
    </fill>
    <fill>
      <patternFill patternType="solid">
        <fgColor theme="4" tint="0.79998168889431442"/>
        <bgColor indexed="64"/>
      </patternFill>
    </fill>
  </fills>
  <borders count="2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thin">
        <color indexed="64"/>
      </bottom>
      <diagonal/>
    </border>
    <border>
      <left/>
      <right/>
      <top style="thin">
        <color indexed="64"/>
      </top>
      <bottom/>
      <diagonal/>
    </border>
    <border>
      <left/>
      <right style="medium">
        <color indexed="64"/>
      </right>
      <top/>
      <bottom style="thin">
        <color indexed="64"/>
      </bottom>
      <diagonal/>
    </border>
    <border>
      <left style="medium">
        <color indexed="64"/>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style="thin">
        <color indexed="64"/>
      </top>
      <bottom/>
      <diagonal/>
    </border>
  </borders>
  <cellStyleXfs count="5">
    <xf numFmtId="0" fontId="0" fillId="0" borderId="0"/>
    <xf numFmtId="9" fontId="1" fillId="0" borderId="0" applyFont="0" applyFill="0" applyBorder="0" applyAlignment="0" applyProtection="0"/>
    <xf numFmtId="0" fontId="2" fillId="0" borderId="0">
      <alignment vertical="center"/>
    </xf>
    <xf numFmtId="0" fontId="3" fillId="0" borderId="0" applyNumberFormat="0" applyFill="0" applyBorder="0" applyAlignment="0" applyProtection="0">
      <alignment vertical="center"/>
    </xf>
    <xf numFmtId="0" fontId="1" fillId="0" borderId="0"/>
  </cellStyleXfs>
  <cellXfs count="152">
    <xf numFmtId="0" fontId="0" fillId="0" borderId="0" xfId="0"/>
    <xf numFmtId="0" fontId="4" fillId="0" borderId="0" xfId="0" applyFont="1" applyAlignment="1">
      <alignment horizontal="center" vertical="center" wrapText="1"/>
    </xf>
    <xf numFmtId="0" fontId="7" fillId="0" borderId="0" xfId="0" applyFont="1" applyAlignment="1">
      <alignment horizontal="center" vertical="center"/>
    </xf>
    <xf numFmtId="2" fontId="7" fillId="0" borderId="0" xfId="0" applyNumberFormat="1" applyFont="1" applyAlignment="1">
      <alignment horizontal="center" vertical="center"/>
    </xf>
    <xf numFmtId="0" fontId="7" fillId="0" borderId="0" xfId="0" applyFont="1" applyAlignment="1">
      <alignment horizontal="left" vertical="center"/>
    </xf>
    <xf numFmtId="10" fontId="7" fillId="0" borderId="0" xfId="1" applyNumberFormat="1" applyFont="1" applyFill="1" applyBorder="1" applyAlignment="1">
      <alignment horizontal="center" vertical="center"/>
    </xf>
    <xf numFmtId="1" fontId="7" fillId="0" borderId="0" xfId="0" applyNumberFormat="1" applyFont="1" applyAlignment="1">
      <alignment horizontal="left" vertical="center"/>
    </xf>
    <xf numFmtId="1" fontId="7" fillId="0" borderId="0" xfId="0" applyNumberFormat="1" applyFont="1" applyAlignment="1">
      <alignment horizontal="left" vertical="center" wrapText="1"/>
    </xf>
    <xf numFmtId="0" fontId="7" fillId="0" borderId="5" xfId="0" applyFont="1" applyBorder="1" applyAlignment="1">
      <alignment horizontal="left" vertical="center"/>
    </xf>
    <xf numFmtId="0" fontId="7" fillId="0" borderId="6" xfId="0" applyFont="1" applyBorder="1" applyAlignment="1">
      <alignment horizontal="center" vertical="center"/>
    </xf>
    <xf numFmtId="2" fontId="7" fillId="0" borderId="6" xfId="0" applyNumberFormat="1" applyFont="1" applyBorder="1" applyAlignment="1">
      <alignment horizontal="center" vertical="center"/>
    </xf>
    <xf numFmtId="1" fontId="7" fillId="0" borderId="5" xfId="0" applyNumberFormat="1" applyFont="1" applyBorder="1" applyAlignment="1">
      <alignment horizontal="left" vertical="center"/>
    </xf>
    <xf numFmtId="10" fontId="7" fillId="0" borderId="6" xfId="1" applyNumberFormat="1" applyFont="1" applyFill="1" applyBorder="1" applyAlignment="1">
      <alignment horizontal="center" vertical="center"/>
    </xf>
    <xf numFmtId="1" fontId="7" fillId="0" borderId="5" xfId="0" applyNumberFormat="1" applyFont="1" applyBorder="1" applyAlignment="1">
      <alignment horizontal="left" vertical="center" wrapText="1"/>
    </xf>
    <xf numFmtId="0" fontId="7" fillId="0" borderId="5" xfId="0" applyFont="1" applyBorder="1" applyAlignment="1">
      <alignment horizontal="left" vertical="top" wrapText="1"/>
    </xf>
    <xf numFmtId="1" fontId="7" fillId="0" borderId="0" xfId="0" applyNumberFormat="1" applyFont="1" applyAlignment="1">
      <alignment horizontal="center" vertical="center"/>
    </xf>
    <xf numFmtId="1" fontId="7" fillId="0" borderId="6" xfId="0" applyNumberFormat="1" applyFont="1" applyBorder="1" applyAlignment="1">
      <alignment horizontal="center" vertical="center"/>
    </xf>
    <xf numFmtId="1" fontId="7" fillId="0" borderId="7" xfId="0" applyNumberFormat="1" applyFont="1" applyBorder="1" applyAlignment="1">
      <alignment horizontal="left" vertical="center"/>
    </xf>
    <xf numFmtId="1" fontId="7" fillId="0" borderId="8" xfId="0" applyNumberFormat="1" applyFont="1" applyBorder="1" applyAlignment="1">
      <alignment horizontal="center" vertical="center"/>
    </xf>
    <xf numFmtId="1" fontId="7" fillId="0" borderId="9" xfId="0" applyNumberFormat="1" applyFont="1" applyBorder="1" applyAlignment="1">
      <alignment horizontal="center" vertical="center"/>
    </xf>
    <xf numFmtId="2" fontId="7" fillId="0" borderId="5" xfId="0" applyNumberFormat="1" applyFont="1" applyBorder="1" applyAlignment="1">
      <alignment horizontal="center" vertical="center"/>
    </xf>
    <xf numFmtId="0" fontId="7" fillId="0" borderId="5" xfId="0" applyFont="1" applyBorder="1" applyAlignment="1">
      <alignment horizontal="center" vertical="center"/>
    </xf>
    <xf numFmtId="10" fontId="7" fillId="0" borderId="5" xfId="1" applyNumberFormat="1" applyFont="1" applyFill="1" applyBorder="1" applyAlignment="1">
      <alignment horizontal="center" vertical="center" wrapText="1"/>
    </xf>
    <xf numFmtId="10" fontId="7" fillId="0" borderId="5" xfId="1" applyNumberFormat="1" applyFont="1" applyFill="1" applyBorder="1" applyAlignment="1">
      <alignment horizontal="center" vertical="center"/>
    </xf>
    <xf numFmtId="1" fontId="7" fillId="0" borderId="5" xfId="0" applyNumberFormat="1" applyFont="1" applyBorder="1" applyAlignment="1">
      <alignment horizontal="center" vertical="center"/>
    </xf>
    <xf numFmtId="1" fontId="7" fillId="0" borderId="7" xfId="0" applyNumberFormat="1"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4" xfId="0" applyFont="1" applyBorder="1" applyAlignment="1">
      <alignment vertical="center"/>
    </xf>
    <xf numFmtId="2" fontId="7" fillId="0" borderId="5" xfId="0" applyNumberFormat="1" applyFont="1" applyBorder="1" applyAlignment="1">
      <alignment horizontal="left" vertical="center" wrapText="1"/>
    </xf>
    <xf numFmtId="0" fontId="7" fillId="0" borderId="5"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wrapText="1"/>
    </xf>
    <xf numFmtId="0" fontId="7" fillId="0" borderId="5" xfId="0" applyFont="1" applyBorder="1" applyAlignment="1">
      <alignment vertical="center" wrapText="1"/>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0" fontId="9" fillId="2" borderId="12" xfId="0" applyFont="1" applyFill="1" applyBorder="1" applyAlignment="1">
      <alignment horizontal="center" vertical="center"/>
    </xf>
    <xf numFmtId="0" fontId="9" fillId="0" borderId="2" xfId="2" applyFont="1" applyBorder="1" applyAlignment="1">
      <alignment horizontal="center" vertical="center" wrapText="1"/>
    </xf>
    <xf numFmtId="0" fontId="9" fillId="0" borderId="3" xfId="2" applyFont="1" applyBorder="1" applyAlignment="1">
      <alignment horizontal="center" vertical="center" wrapText="1"/>
    </xf>
    <xf numFmtId="0" fontId="9" fillId="0" borderId="4" xfId="2" applyFont="1" applyBorder="1" applyAlignment="1">
      <alignment horizontal="center" vertical="center" wrapText="1"/>
    </xf>
    <xf numFmtId="0" fontId="8" fillId="0" borderId="10"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5" xfId="0" applyFont="1" applyBorder="1" applyAlignment="1">
      <alignment vertical="center" wrapText="1"/>
    </xf>
    <xf numFmtId="0" fontId="8" fillId="0" borderId="0" xfId="0" applyFont="1" applyAlignment="1">
      <alignment horizontal="center" vertical="center" wrapText="1"/>
    </xf>
    <xf numFmtId="0" fontId="8" fillId="0" borderId="6" xfId="0" applyFont="1" applyBorder="1" applyAlignment="1">
      <alignment horizontal="center" vertical="center" wrapText="1"/>
    </xf>
    <xf numFmtId="0" fontId="8" fillId="0" borderId="7" xfId="0" applyFont="1" applyBorder="1" applyAlignment="1">
      <alignment vertical="center" wrapText="1"/>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8" fillId="0" borderId="5" xfId="0" applyFont="1" applyBorder="1" applyAlignment="1">
      <alignment horizontal="left" vertical="center" wrapText="1"/>
    </xf>
    <xf numFmtId="0" fontId="8" fillId="0" borderId="7" xfId="0" applyFont="1" applyBorder="1" applyAlignment="1">
      <alignment horizontal="left" vertical="center" wrapText="1"/>
    </xf>
    <xf numFmtId="0" fontId="4" fillId="0" borderId="0" xfId="0" applyFont="1" applyAlignment="1">
      <alignment horizontal="left" vertical="center" wrapText="1"/>
    </xf>
    <xf numFmtId="0" fontId="8" fillId="0" borderId="0" xfId="0" applyFont="1" applyAlignment="1">
      <alignment vertical="center"/>
    </xf>
    <xf numFmtId="0" fontId="8" fillId="0" borderId="0" xfId="0" applyFont="1" applyAlignment="1">
      <alignment horizontal="center" vertical="center"/>
    </xf>
    <xf numFmtId="0" fontId="8" fillId="0" borderId="7" xfId="0" applyFont="1" applyBorder="1" applyAlignment="1">
      <alignment horizontal="center" vertical="center"/>
    </xf>
    <xf numFmtId="0" fontId="8" fillId="2" borderId="1" xfId="0" applyFont="1" applyFill="1" applyBorder="1" applyAlignment="1">
      <alignment vertical="center"/>
    </xf>
    <xf numFmtId="0" fontId="8" fillId="2" borderId="10" xfId="0" applyFont="1" applyFill="1" applyBorder="1" applyAlignment="1">
      <alignment horizontal="center" vertical="center"/>
    </xf>
    <xf numFmtId="0" fontId="8" fillId="2" borderId="11" xfId="0" applyFont="1" applyFill="1" applyBorder="1" applyAlignment="1">
      <alignment horizontal="center" vertical="center"/>
    </xf>
    <xf numFmtId="0" fontId="8" fillId="2" borderId="12" xfId="0" applyFont="1" applyFill="1" applyBorder="1" applyAlignment="1">
      <alignment horizontal="center" vertical="center"/>
    </xf>
    <xf numFmtId="0" fontId="0" fillId="0" borderId="2" xfId="0" applyBorder="1" applyAlignment="1">
      <alignment vertical="center"/>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5" xfId="0" applyBorder="1" applyAlignment="1">
      <alignment vertical="center" wrapText="1"/>
    </xf>
    <xf numFmtId="0" fontId="0" fillId="0" borderId="0" xfId="0"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left" vertical="center" wrapText="1"/>
    </xf>
    <xf numFmtId="0" fontId="0" fillId="0" borderId="7" xfId="0" applyBorder="1" applyAlignment="1">
      <alignment horizontal="left" vertical="center" wrapText="1"/>
    </xf>
    <xf numFmtId="164" fontId="7" fillId="0" borderId="5" xfId="0" applyNumberFormat="1" applyFont="1" applyBorder="1" applyAlignment="1">
      <alignment horizontal="center" vertical="center"/>
    </xf>
    <xf numFmtId="164" fontId="7" fillId="0" borderId="0" xfId="1" applyNumberFormat="1" applyFont="1" applyFill="1" applyBorder="1" applyAlignment="1">
      <alignment horizontal="center" vertical="center"/>
    </xf>
    <xf numFmtId="164" fontId="7" fillId="0" borderId="6" xfId="1" applyNumberFormat="1" applyFont="1" applyFill="1" applyBorder="1" applyAlignment="1">
      <alignment horizontal="center" vertical="center"/>
    </xf>
    <xf numFmtId="164" fontId="7" fillId="0" borderId="5" xfId="1" applyNumberFormat="1" applyFont="1" applyFill="1" applyBorder="1" applyAlignment="1">
      <alignment horizontal="center" vertical="center"/>
    </xf>
    <xf numFmtId="2" fontId="7" fillId="0" borderId="5" xfId="1" applyNumberFormat="1" applyFont="1" applyFill="1" applyBorder="1" applyAlignment="1">
      <alignment horizontal="center" vertical="center"/>
    </xf>
    <xf numFmtId="2" fontId="7" fillId="0" borderId="0" xfId="1" applyNumberFormat="1" applyFont="1" applyFill="1" applyBorder="1" applyAlignment="1">
      <alignment horizontal="center" vertical="center"/>
    </xf>
    <xf numFmtId="2" fontId="7" fillId="0" borderId="6" xfId="1" applyNumberFormat="1" applyFont="1" applyFill="1" applyBorder="1" applyAlignment="1">
      <alignment horizontal="center" vertical="center"/>
    </xf>
    <xf numFmtId="2" fontId="7" fillId="0" borderId="2" xfId="0" applyNumberFormat="1" applyFont="1" applyBorder="1" applyAlignment="1">
      <alignment horizontal="center" vertical="center"/>
    </xf>
    <xf numFmtId="2" fontId="7" fillId="0" borderId="3" xfId="0" applyNumberFormat="1" applyFont="1" applyBorder="1" applyAlignment="1">
      <alignment horizontal="center" vertical="center"/>
    </xf>
    <xf numFmtId="2" fontId="7" fillId="0" borderId="4" xfId="0" applyNumberFormat="1" applyFont="1"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0" fontId="13" fillId="0" borderId="0" xfId="0" applyFont="1" applyAlignment="1">
      <alignment horizontal="center" vertical="center"/>
    </xf>
    <xf numFmtId="0" fontId="0" fillId="0" borderId="6" xfId="0" applyBorder="1" applyAlignment="1">
      <alignment horizontal="center" vertical="center"/>
    </xf>
    <xf numFmtId="0" fontId="13" fillId="0" borderId="6" xfId="0" applyFont="1" applyBorder="1" applyAlignment="1">
      <alignment horizontal="center" vertical="center"/>
    </xf>
    <xf numFmtId="0" fontId="0" fillId="0" borderId="8" xfId="0" applyBorder="1" applyAlignment="1">
      <alignment horizontal="center" vertical="center"/>
    </xf>
    <xf numFmtId="0" fontId="13" fillId="0" borderId="8" xfId="0" applyFont="1" applyBorder="1" applyAlignment="1">
      <alignment horizontal="center" vertical="center"/>
    </xf>
    <xf numFmtId="0" fontId="0" fillId="0" borderId="9" xfId="0" applyBorder="1" applyAlignment="1">
      <alignment horizontal="center" vertical="center"/>
    </xf>
    <xf numFmtId="0" fontId="0" fillId="0" borderId="18" xfId="0" applyBorder="1" applyAlignment="1">
      <alignment horizontal="center" vertical="center"/>
    </xf>
    <xf numFmtId="0" fontId="13" fillId="0" borderId="18" xfId="0" applyFont="1" applyBorder="1" applyAlignment="1">
      <alignment horizontal="center" vertical="center"/>
    </xf>
    <xf numFmtId="0" fontId="0" fillId="0" borderId="14" xfId="0" applyBorder="1" applyAlignment="1">
      <alignment horizontal="center" vertical="center"/>
    </xf>
    <xf numFmtId="0" fontId="0" fillId="0" borderId="13" xfId="0"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14" fillId="0" borderId="0" xfId="0" applyFont="1" applyAlignment="1">
      <alignment horizontal="center" vertical="center"/>
    </xf>
    <xf numFmtId="0" fontId="0" fillId="0" borderId="0" xfId="0" applyAlignment="1">
      <alignment horizontal="left" vertical="top"/>
    </xf>
    <xf numFmtId="0" fontId="1" fillId="0" borderId="3" xfId="0" applyFont="1" applyBorder="1" applyAlignment="1">
      <alignment horizontal="center" vertical="center"/>
    </xf>
    <xf numFmtId="0" fontId="1" fillId="0" borderId="0" xfId="0" applyFont="1" applyAlignment="1">
      <alignment horizontal="center" vertical="center"/>
    </xf>
    <xf numFmtId="0" fontId="1" fillId="0" borderId="15" xfId="0" applyFont="1" applyBorder="1" applyAlignment="1">
      <alignment horizontal="center" vertical="center"/>
    </xf>
    <xf numFmtId="0" fontId="1" fillId="0" borderId="0" xfId="0" applyFont="1" applyAlignment="1">
      <alignment horizontal="center" vertical="center" wrapText="1"/>
    </xf>
    <xf numFmtId="0" fontId="1" fillId="0" borderId="8" xfId="0" applyFont="1" applyBorder="1" applyAlignment="1">
      <alignment horizontal="center" vertical="center" wrapText="1"/>
    </xf>
    <xf numFmtId="0" fontId="1" fillId="0" borderId="16" xfId="0" applyFont="1" applyBorder="1" applyAlignment="1">
      <alignment horizontal="center" vertical="center"/>
    </xf>
    <xf numFmtId="0" fontId="1" fillId="0" borderId="22" xfId="0" applyFont="1" applyBorder="1" applyAlignment="1">
      <alignment horizontal="center" vertical="center"/>
    </xf>
    <xf numFmtId="0" fontId="1" fillId="0" borderId="6" xfId="0" applyFont="1" applyBorder="1" applyAlignment="1">
      <alignment horizontal="center" vertical="center"/>
    </xf>
    <xf numFmtId="0" fontId="1" fillId="0" borderId="17" xfId="0" applyFont="1" applyBorder="1" applyAlignment="1">
      <alignment horizontal="center" vertical="center"/>
    </xf>
    <xf numFmtId="0" fontId="1" fillId="0" borderId="16" xfId="0" applyFont="1" applyBorder="1" applyAlignment="1">
      <alignment horizontal="center" vertical="center" wrapText="1"/>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4" xfId="0" applyFont="1" applyBorder="1" applyAlignment="1">
      <alignment horizontal="center" vertical="center"/>
    </xf>
    <xf numFmtId="0" fontId="1" fillId="0" borderId="15" xfId="0" applyFont="1" applyBorder="1" applyAlignment="1">
      <alignment horizontal="center" vertical="center" wrapText="1"/>
    </xf>
    <xf numFmtId="0" fontId="5" fillId="2" borderId="19" xfId="4" applyFont="1" applyFill="1" applyBorder="1" applyAlignment="1">
      <alignment horizontal="center" vertical="center" wrapText="1"/>
    </xf>
    <xf numFmtId="0" fontId="5" fillId="2" borderId="20" xfId="4" applyFont="1" applyFill="1" applyBorder="1" applyAlignment="1">
      <alignment horizontal="center" vertical="center" wrapText="1"/>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1" fontId="7" fillId="0" borderId="2" xfId="0" applyNumberFormat="1" applyFont="1" applyBorder="1" applyAlignment="1">
      <alignment horizontal="left" vertical="center"/>
    </xf>
    <xf numFmtId="1" fontId="7" fillId="0" borderId="3" xfId="0" applyNumberFormat="1" applyFont="1" applyBorder="1" applyAlignment="1">
      <alignment horizontal="left" vertical="center"/>
    </xf>
    <xf numFmtId="1" fontId="7" fillId="0" borderId="4" xfId="0" applyNumberFormat="1" applyFont="1" applyBorder="1" applyAlignment="1">
      <alignment horizontal="left" vertical="center"/>
    </xf>
    <xf numFmtId="0" fontId="9" fillId="0" borderId="13" xfId="0" applyFont="1" applyBorder="1" applyAlignment="1">
      <alignment horizontal="center" vertical="center"/>
    </xf>
    <xf numFmtId="0" fontId="9" fillId="0" borderId="14" xfId="0" applyFont="1" applyBorder="1" applyAlignment="1">
      <alignment horizontal="center" vertical="center"/>
    </xf>
    <xf numFmtId="1" fontId="7" fillId="0" borderId="7" xfId="0" applyNumberFormat="1" applyFont="1" applyBorder="1" applyAlignment="1">
      <alignment horizontal="left" vertical="center"/>
    </xf>
    <xf numFmtId="1" fontId="7" fillId="0" borderId="8" xfId="0" applyNumberFormat="1" applyFont="1" applyBorder="1" applyAlignment="1">
      <alignment horizontal="left" vertical="center"/>
    </xf>
    <xf numFmtId="1" fontId="7" fillId="0" borderId="9" xfId="0" applyNumberFormat="1" applyFont="1" applyBorder="1" applyAlignment="1">
      <alignment horizontal="left" vertical="center"/>
    </xf>
    <xf numFmtId="0" fontId="5" fillId="2" borderId="10" xfId="0" applyFont="1" applyFill="1" applyBorder="1" applyAlignment="1">
      <alignment horizontal="left" vertical="center" wrapText="1"/>
    </xf>
    <xf numFmtId="0" fontId="5" fillId="2" borderId="11" xfId="0" applyFont="1" applyFill="1" applyBorder="1" applyAlignment="1">
      <alignment horizontal="left" vertical="center" wrapText="1"/>
    </xf>
    <xf numFmtId="0" fontId="5" fillId="2" borderId="12" xfId="0" applyFont="1" applyFill="1" applyBorder="1" applyAlignment="1">
      <alignment horizontal="left" vertical="center" wrapText="1"/>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0" fontId="9" fillId="2" borderId="12" xfId="0" applyFont="1" applyFill="1" applyBorder="1" applyAlignment="1">
      <alignment horizontal="center" vertical="center"/>
    </xf>
    <xf numFmtId="0" fontId="9" fillId="0" borderId="10" xfId="0" applyFont="1" applyBorder="1" applyAlignment="1">
      <alignment horizontal="center" vertical="center"/>
    </xf>
    <xf numFmtId="0" fontId="9" fillId="0" borderId="11" xfId="0" applyFont="1" applyBorder="1" applyAlignment="1">
      <alignment horizontal="center" vertical="center"/>
    </xf>
    <xf numFmtId="0" fontId="9" fillId="0" borderId="12" xfId="0" applyFont="1" applyBorder="1" applyAlignment="1">
      <alignment horizontal="center" vertical="center"/>
    </xf>
    <xf numFmtId="0" fontId="11" fillId="2" borderId="10" xfId="0" applyFont="1" applyFill="1" applyBorder="1" applyAlignment="1">
      <alignment horizontal="left" vertical="center" wrapText="1"/>
    </xf>
    <xf numFmtId="0" fontId="11" fillId="2" borderId="11" xfId="0" applyFont="1" applyFill="1" applyBorder="1" applyAlignment="1">
      <alignment horizontal="left" vertical="center" wrapText="1"/>
    </xf>
    <xf numFmtId="0" fontId="11" fillId="2" borderId="12" xfId="0" applyFont="1" applyFill="1" applyBorder="1" applyAlignment="1">
      <alignment horizontal="left" vertical="center" wrapText="1"/>
    </xf>
    <xf numFmtId="0" fontId="9" fillId="0" borderId="8" xfId="0" applyFont="1" applyBorder="1" applyAlignment="1">
      <alignment horizontal="center" vertical="center"/>
    </xf>
    <xf numFmtId="0" fontId="13" fillId="0" borderId="2" xfId="0" applyFont="1" applyBorder="1" applyAlignment="1">
      <alignment horizontal="left" vertical="top" wrapText="1"/>
    </xf>
    <xf numFmtId="0" fontId="13" fillId="0" borderId="3" xfId="0" applyFont="1" applyBorder="1" applyAlignment="1">
      <alignment horizontal="left" vertical="top" wrapText="1"/>
    </xf>
    <xf numFmtId="0" fontId="0" fillId="2" borderId="3" xfId="0" applyFill="1" applyBorder="1" applyAlignment="1">
      <alignment horizontal="center" vertical="center" wrapText="1"/>
    </xf>
    <xf numFmtId="0" fontId="0" fillId="0" borderId="0" xfId="0" applyAlignment="1">
      <alignment horizontal="left" vertical="top"/>
    </xf>
    <xf numFmtId="0" fontId="1" fillId="0" borderId="23"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2" xfId="0" applyFont="1" applyBorder="1" applyAlignment="1">
      <alignment horizontal="center" vertical="center" wrapText="1"/>
    </xf>
    <xf numFmtId="0" fontId="1" fillId="0" borderId="16" xfId="0" applyFont="1" applyBorder="1" applyAlignment="1">
      <alignment horizontal="center" vertical="center"/>
    </xf>
    <xf numFmtId="0" fontId="1" fillId="0" borderId="22" xfId="0" applyFont="1" applyBorder="1" applyAlignment="1">
      <alignment horizontal="center" vertical="center"/>
    </xf>
    <xf numFmtId="0" fontId="1" fillId="0" borderId="15" xfId="0" applyFont="1" applyBorder="1" applyAlignment="1">
      <alignment horizontal="center" vertical="center"/>
    </xf>
    <xf numFmtId="0" fontId="1" fillId="0" borderId="1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0" xfId="0" applyFont="1" applyAlignment="1">
      <alignment horizontal="center" vertical="center"/>
    </xf>
    <xf numFmtId="0" fontId="1" fillId="0" borderId="6" xfId="0" applyFont="1" applyBorder="1" applyAlignment="1">
      <alignment horizontal="center" vertical="center"/>
    </xf>
  </cellXfs>
  <cellStyles count="5">
    <cellStyle name="Normal" xfId="0" builtinId="0"/>
    <cellStyle name="Percent" xfId="1" builtinId="5"/>
    <cellStyle name="常规 2" xfId="2" xr:uid="{E4C8DEE5-C358-4F48-866E-09174F1BD353}"/>
    <cellStyle name="常规 2 2" xfId="4" xr:uid="{031CB3D3-C49C-4717-BABB-1A8FEDF4497F}"/>
    <cellStyle name="超链接 2" xfId="3" xr:uid="{4BFB6688-9330-421D-981D-13F423E1FF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30480</xdr:colOff>
      <xdr:row>132</xdr:row>
      <xdr:rowOff>60594</xdr:rowOff>
    </xdr:from>
    <xdr:to>
      <xdr:col>16</xdr:col>
      <xdr:colOff>618371</xdr:colOff>
      <xdr:row>158</xdr:row>
      <xdr:rowOff>152514</xdr:rowOff>
    </xdr:to>
    <xdr:pic>
      <xdr:nvPicPr>
        <xdr:cNvPr id="2" name="Picture 1">
          <a:extLst>
            <a:ext uri="{FF2B5EF4-FFF2-40B4-BE49-F238E27FC236}">
              <a16:creationId xmlns:a16="http://schemas.microsoft.com/office/drawing/2014/main" id="{2BBFBB8C-ED5B-404A-81E8-5C2530D45B28}"/>
            </a:ext>
          </a:extLst>
        </xdr:cNvPr>
        <xdr:cNvPicPr>
          <a:picLocks noChangeAspect="1"/>
        </xdr:cNvPicPr>
      </xdr:nvPicPr>
      <xdr:blipFill>
        <a:blip xmlns:r="http://schemas.openxmlformats.org/officeDocument/2006/relationships" r:embed="rId1"/>
        <a:stretch>
          <a:fillRect/>
        </a:stretch>
      </xdr:blipFill>
      <xdr:spPr>
        <a:xfrm>
          <a:off x="6540818" y="24596994"/>
          <a:ext cx="6417191" cy="479727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nl\projects\comstd\_p.require\90.1_IECC_ventilation_and_DCV_requiremen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DCV_90.1_2022"/>
      <sheetName val="oa_value.json"/>
      <sheetName val="DCV_require"/>
      <sheetName val="Sheet3"/>
      <sheetName val="tbl_OA"/>
      <sheetName val="OA_ParmList"/>
      <sheetName val="OA_space_types"/>
      <sheetName val="62.1-2019FromYunyang"/>
      <sheetName val="Climate Zone"/>
      <sheetName val="Economizer"/>
    </sheetNames>
    <sheetDataSet>
      <sheetData sheetId="0" refreshError="1"/>
      <sheetData sheetId="1">
        <row r="2">
          <cell r="D2" t="str">
            <v>LookupID</v>
          </cell>
          <cell r="E2" t="str">
            <v>cz7_cz8</v>
          </cell>
          <cell r="F2" t="str">
            <v>cz5A_cz6A_cz6B</v>
          </cell>
          <cell r="G2" t="str">
            <v>cz0B_cz1B_cz3A_cz4A_cz5B_cz5C</v>
          </cell>
          <cell r="H2" t="str">
            <v>cz2A_cz2B_cz4C</v>
          </cell>
          <cell r="I2" t="str">
            <v>cz0A_cz1A_cz3B_cz4B</v>
          </cell>
          <cell r="J2" t="str">
            <v>cz3C</v>
          </cell>
        </row>
        <row r="3">
          <cell r="D3" t="str">
            <v>No0</v>
          </cell>
          <cell r="E3">
            <v>999999</v>
          </cell>
          <cell r="F3">
            <v>999999</v>
          </cell>
          <cell r="G3">
            <v>999999</v>
          </cell>
          <cell r="H3">
            <v>999999</v>
          </cell>
          <cell r="I3">
            <v>999999</v>
          </cell>
          <cell r="J3">
            <v>999999</v>
          </cell>
        </row>
        <row r="4">
          <cell r="D4" t="str">
            <v>No100</v>
          </cell>
          <cell r="E4">
            <v>400</v>
          </cell>
          <cell r="F4">
            <v>600</v>
          </cell>
          <cell r="G4">
            <v>800</v>
          </cell>
          <cell r="H4">
            <v>1100</v>
          </cell>
          <cell r="I4">
            <v>2400</v>
          </cell>
          <cell r="J4">
            <v>7000</v>
          </cell>
        </row>
        <row r="5">
          <cell r="D5" t="str">
            <v>No200</v>
          </cell>
          <cell r="E5">
            <v>200</v>
          </cell>
          <cell r="F5">
            <v>250</v>
          </cell>
          <cell r="G5">
            <v>400</v>
          </cell>
          <cell r="H5">
            <v>600</v>
          </cell>
          <cell r="I5">
            <v>1100</v>
          </cell>
          <cell r="J5">
            <v>3000</v>
          </cell>
        </row>
        <row r="6">
          <cell r="D6" t="str">
            <v>No400</v>
          </cell>
          <cell r="E6">
            <v>150</v>
          </cell>
          <cell r="F6">
            <v>150</v>
          </cell>
          <cell r="G6">
            <v>250</v>
          </cell>
          <cell r="H6">
            <v>300</v>
          </cell>
          <cell r="I6">
            <v>600</v>
          </cell>
          <cell r="J6">
            <v>1700</v>
          </cell>
        </row>
        <row r="7">
          <cell r="D7" t="str">
            <v>Yes0</v>
          </cell>
          <cell r="E7">
            <v>999999</v>
          </cell>
          <cell r="F7">
            <v>999999</v>
          </cell>
          <cell r="G7">
            <v>999999</v>
          </cell>
          <cell r="H7">
            <v>999999</v>
          </cell>
          <cell r="I7">
            <v>999999</v>
          </cell>
          <cell r="J7">
            <v>999999</v>
          </cell>
        </row>
        <row r="8">
          <cell r="D8" t="str">
            <v>Yes100</v>
          </cell>
          <cell r="E8">
            <v>800</v>
          </cell>
          <cell r="F8">
            <v>1400</v>
          </cell>
          <cell r="G8">
            <v>2000</v>
          </cell>
          <cell r="H8">
            <v>2300</v>
          </cell>
          <cell r="I8">
            <v>5800</v>
          </cell>
          <cell r="J8">
            <v>12000</v>
          </cell>
        </row>
        <row r="9">
          <cell r="D9" t="str">
            <v>Yes200</v>
          </cell>
          <cell r="E9">
            <v>400</v>
          </cell>
          <cell r="F9">
            <v>900</v>
          </cell>
          <cell r="G9">
            <v>1000</v>
          </cell>
          <cell r="H9">
            <v>1100</v>
          </cell>
          <cell r="I9">
            <v>2600</v>
          </cell>
          <cell r="J9">
            <v>6000</v>
          </cell>
        </row>
        <row r="10">
          <cell r="D10" t="str">
            <v>Yes400</v>
          </cell>
          <cell r="E10">
            <v>250</v>
          </cell>
          <cell r="F10">
            <v>400</v>
          </cell>
          <cell r="G10">
            <v>500</v>
          </cell>
          <cell r="H10">
            <v>600</v>
          </cell>
          <cell r="I10">
            <v>1400</v>
          </cell>
          <cell r="J10">
            <v>3000</v>
          </cell>
        </row>
        <row r="14">
          <cell r="D14" t="str">
            <v>LookupID</v>
          </cell>
          <cell r="E14" t="str">
            <v>cz7_cz8</v>
          </cell>
          <cell r="F14" t="str">
            <v>cz5A_cz6A_cz6B</v>
          </cell>
          <cell r="G14" t="str">
            <v>cz0B_cz1B_cz2A_cz2B_cz3A_cz4A_cz4C_cz5B_cz5C</v>
          </cell>
          <cell r="H14" t="str">
            <v>cz0A_cz1A_cz3B_cz4B</v>
          </cell>
          <cell r="I14" t="str">
            <v>cz3C</v>
          </cell>
        </row>
        <row r="15">
          <cell r="D15" t="str">
            <v>No</v>
          </cell>
          <cell r="E15">
            <v>250</v>
          </cell>
          <cell r="F15">
            <v>250</v>
          </cell>
          <cell r="G15">
            <v>500</v>
          </cell>
          <cell r="H15">
            <v>500</v>
          </cell>
          <cell r="I15">
            <v>500</v>
          </cell>
        </row>
        <row r="16">
          <cell r="D16" t="str">
            <v>Yes</v>
          </cell>
          <cell r="E16">
            <v>400</v>
          </cell>
          <cell r="F16">
            <v>1000</v>
          </cell>
          <cell r="G16">
            <v>1000</v>
          </cell>
          <cell r="H16">
            <v>2000</v>
          </cell>
          <cell r="I16">
            <v>6000</v>
          </cell>
        </row>
      </sheetData>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C3E19-935D-4455-917B-7B90E43F5081}">
  <dimension ref="A1:H31"/>
  <sheetViews>
    <sheetView zoomScale="85" zoomScaleNormal="85" workbookViewId="0">
      <selection activeCell="K14" sqref="K14"/>
    </sheetView>
  </sheetViews>
  <sheetFormatPr defaultColWidth="8.73046875" defaultRowHeight="18.399999999999999" customHeight="1"/>
  <cols>
    <col min="1" max="1" width="43.73046875" style="4" customWidth="1"/>
    <col min="2" max="8" width="17.19921875" style="2" customWidth="1"/>
  </cols>
  <sheetData>
    <row r="1" spans="1:8" ht="18.399999999999999" customHeight="1" thickBot="1">
      <c r="A1" s="118" t="s">
        <v>105</v>
      </c>
      <c r="B1" s="37" t="s">
        <v>7</v>
      </c>
      <c r="C1" s="38" t="s">
        <v>8</v>
      </c>
      <c r="D1" s="38" t="s">
        <v>9</v>
      </c>
      <c r="E1" s="38" t="s">
        <v>10</v>
      </c>
      <c r="F1" s="38" t="s">
        <v>76</v>
      </c>
      <c r="G1" s="38" t="s">
        <v>11</v>
      </c>
      <c r="H1" s="39" t="s">
        <v>12</v>
      </c>
    </row>
    <row r="2" spans="1:8" ht="18.399999999999999" customHeight="1" thickBot="1">
      <c r="A2" s="119"/>
      <c r="B2" s="34" t="s">
        <v>0</v>
      </c>
      <c r="C2" s="35" t="s">
        <v>1</v>
      </c>
      <c r="D2" s="35" t="s">
        <v>2</v>
      </c>
      <c r="E2" s="35" t="s">
        <v>3</v>
      </c>
      <c r="F2" s="35" t="s">
        <v>4</v>
      </c>
      <c r="G2" s="35" t="s">
        <v>5</v>
      </c>
      <c r="H2" s="36" t="s">
        <v>6</v>
      </c>
    </row>
    <row r="3" spans="1:8" ht="18.399999999999999" customHeight="1">
      <c r="A3" s="29" t="s">
        <v>35</v>
      </c>
      <c r="B3" s="78">
        <v>30.900188156250007</v>
      </c>
      <c r="C3" s="79">
        <v>12.668503911764706</v>
      </c>
      <c r="D3" s="79">
        <v>6.1908243606557365</v>
      </c>
      <c r="E3" s="79">
        <v>18.562497264150945</v>
      </c>
      <c r="F3" s="79">
        <v>13.452964916666668</v>
      </c>
      <c r="G3" s="79">
        <v>6.9327223333333343</v>
      </c>
      <c r="H3" s="80">
        <v>5.8882166666666667</v>
      </c>
    </row>
    <row r="4" spans="1:8" ht="18.399999999999999" customHeight="1">
      <c r="A4" s="8" t="s">
        <v>36</v>
      </c>
      <c r="B4" s="20">
        <v>29.602500000000006</v>
      </c>
      <c r="C4" s="3">
        <v>17.061621621621619</v>
      </c>
      <c r="D4" s="3">
        <v>10.751999999999999</v>
      </c>
      <c r="E4" s="3">
        <v>28.735624999999995</v>
      </c>
      <c r="F4" s="3">
        <v>25.657777777777778</v>
      </c>
      <c r="G4" s="3">
        <v>17.660714285714288</v>
      </c>
      <c r="H4" s="10">
        <v>19.854285714285712</v>
      </c>
    </row>
    <row r="5" spans="1:8" ht="18.399999999999999" customHeight="1">
      <c r="A5" s="8" t="s">
        <v>37</v>
      </c>
      <c r="B5" s="20">
        <v>35.502343749999994</v>
      </c>
      <c r="C5" s="3">
        <v>19.890135135135139</v>
      </c>
      <c r="D5" s="3">
        <v>8.6722222222222243</v>
      </c>
      <c r="E5" s="3">
        <v>33.684464285714292</v>
      </c>
      <c r="F5" s="3">
        <v>28.425909090909091</v>
      </c>
      <c r="G5" s="3">
        <v>14.772631578947365</v>
      </c>
      <c r="H5" s="10">
        <v>75.166315789473671</v>
      </c>
    </row>
    <row r="6" spans="1:8" ht="18.399999999999999" customHeight="1">
      <c r="A6" s="8" t="s">
        <v>13</v>
      </c>
      <c r="B6" s="30" t="s">
        <v>14</v>
      </c>
      <c r="C6" s="31" t="s">
        <v>15</v>
      </c>
      <c r="D6" s="31" t="s">
        <v>16</v>
      </c>
      <c r="E6" s="31" t="s">
        <v>17</v>
      </c>
      <c r="F6" s="31" t="s">
        <v>18</v>
      </c>
      <c r="G6" s="31" t="s">
        <v>19</v>
      </c>
      <c r="H6" s="32" t="s">
        <v>20</v>
      </c>
    </row>
    <row r="7" spans="1:8" ht="18.399999999999999" customHeight="1">
      <c r="A7" s="33" t="s">
        <v>21</v>
      </c>
      <c r="B7" s="30">
        <v>0.12</v>
      </c>
      <c r="C7" s="31">
        <v>0.08</v>
      </c>
      <c r="D7" s="31">
        <v>0.05</v>
      </c>
      <c r="E7" s="31">
        <v>0.01</v>
      </c>
      <c r="F7" s="31">
        <v>0.02</v>
      </c>
      <c r="G7" s="31">
        <v>0.02</v>
      </c>
      <c r="H7" s="32">
        <v>0.01</v>
      </c>
    </row>
    <row r="8" spans="1:8" ht="18.399999999999999" customHeight="1">
      <c r="A8" s="33" t="s">
        <v>25</v>
      </c>
      <c r="B8" s="30">
        <v>2.14</v>
      </c>
      <c r="C8" s="31">
        <v>0.83</v>
      </c>
      <c r="D8" s="31">
        <v>0.47</v>
      </c>
      <c r="E8" s="31">
        <v>1.18</v>
      </c>
      <c r="F8" s="31">
        <v>0.84</v>
      </c>
      <c r="G8" s="31">
        <v>0.48</v>
      </c>
      <c r="H8" s="32">
        <v>0.28999999999999998</v>
      </c>
    </row>
    <row r="9" spans="1:8" ht="18.399999999999999" customHeight="1">
      <c r="A9" s="8" t="s">
        <v>22</v>
      </c>
      <c r="B9" s="21">
        <f>B7/10</f>
        <v>1.2E-2</v>
      </c>
      <c r="C9" s="2">
        <f t="shared" ref="C9:H9" si="0">C7/10</f>
        <v>8.0000000000000002E-3</v>
      </c>
      <c r="D9" s="2">
        <f t="shared" si="0"/>
        <v>5.0000000000000001E-3</v>
      </c>
      <c r="E9" s="2">
        <f t="shared" si="0"/>
        <v>1E-3</v>
      </c>
      <c r="F9" s="2">
        <f t="shared" si="0"/>
        <v>2E-3</v>
      </c>
      <c r="G9" s="2">
        <f>G7/10</f>
        <v>2E-3</v>
      </c>
      <c r="H9" s="9">
        <f t="shared" si="0"/>
        <v>1E-3</v>
      </c>
    </row>
    <row r="10" spans="1:8" ht="18.399999999999999" customHeight="1">
      <c r="A10" s="8" t="s">
        <v>24</v>
      </c>
      <c r="B10" s="21">
        <f>B8/10</f>
        <v>0.21400000000000002</v>
      </c>
      <c r="C10" s="2">
        <f>C8/10</f>
        <v>8.299999999999999E-2</v>
      </c>
      <c r="D10" s="2">
        <f t="shared" ref="D10:H10" si="1">D8/10</f>
        <v>4.7E-2</v>
      </c>
      <c r="E10" s="2">
        <f>E8/10</f>
        <v>0.11799999999999999</v>
      </c>
      <c r="F10" s="2">
        <f t="shared" si="1"/>
        <v>8.3999999999999991E-2</v>
      </c>
      <c r="G10" s="2">
        <f t="shared" si="1"/>
        <v>4.8000000000000001E-2</v>
      </c>
      <c r="H10" s="9">
        <f t="shared" si="1"/>
        <v>2.8999999999999998E-2</v>
      </c>
    </row>
    <row r="11" spans="1:8" ht="18.399999999999999" customHeight="1">
      <c r="A11" s="8" t="s">
        <v>27</v>
      </c>
      <c r="B11" s="21" t="s">
        <v>29</v>
      </c>
      <c r="C11" s="2" t="s">
        <v>29</v>
      </c>
      <c r="D11" s="2" t="s">
        <v>29</v>
      </c>
      <c r="E11" s="2" t="s">
        <v>29</v>
      </c>
      <c r="F11" s="2" t="s">
        <v>29</v>
      </c>
      <c r="G11" s="2" t="s">
        <v>29</v>
      </c>
      <c r="H11" s="9" t="s">
        <v>29</v>
      </c>
    </row>
    <row r="12" spans="1:8" ht="18.399999999999999" customHeight="1">
      <c r="A12" s="11" t="s">
        <v>28</v>
      </c>
      <c r="B12" s="22" t="s">
        <v>26</v>
      </c>
      <c r="C12" s="5" t="s">
        <v>26</v>
      </c>
      <c r="D12" s="5" t="s">
        <v>26</v>
      </c>
      <c r="E12" s="5" t="s">
        <v>26</v>
      </c>
      <c r="F12" s="5" t="s">
        <v>26</v>
      </c>
      <c r="G12" s="5" t="s">
        <v>26</v>
      </c>
      <c r="H12" s="12" t="s">
        <v>26</v>
      </c>
    </row>
    <row r="13" spans="1:8" ht="18.399999999999999" customHeight="1">
      <c r="A13" s="8" t="s">
        <v>30</v>
      </c>
      <c r="B13" s="21" t="s">
        <v>31</v>
      </c>
      <c r="C13" s="2" t="s">
        <v>31</v>
      </c>
      <c r="D13" s="2" t="s">
        <v>31</v>
      </c>
      <c r="E13" s="2" t="s">
        <v>31</v>
      </c>
      <c r="F13" s="2" t="s">
        <v>31</v>
      </c>
      <c r="G13" s="2" t="s">
        <v>31</v>
      </c>
      <c r="H13" s="9" t="s">
        <v>31</v>
      </c>
    </row>
    <row r="14" spans="1:8" ht="18.399999999999999" customHeight="1">
      <c r="A14" s="13" t="s">
        <v>102</v>
      </c>
      <c r="B14" s="23" t="s">
        <v>32</v>
      </c>
      <c r="C14" s="5" t="s">
        <v>32</v>
      </c>
      <c r="D14" s="5" t="s">
        <v>32</v>
      </c>
      <c r="E14" s="5" t="s">
        <v>32</v>
      </c>
      <c r="F14" s="5" t="s">
        <v>32</v>
      </c>
      <c r="G14" s="5" t="s">
        <v>32</v>
      </c>
      <c r="H14" s="12" t="s">
        <v>32</v>
      </c>
    </row>
    <row r="15" spans="1:8" ht="18.399999999999999" customHeight="1">
      <c r="A15" s="8" t="s">
        <v>96</v>
      </c>
      <c r="B15" s="71">
        <v>0.5</v>
      </c>
      <c r="C15" s="72">
        <v>0.5</v>
      </c>
      <c r="D15" s="72">
        <v>0.5</v>
      </c>
      <c r="E15" s="72">
        <v>0.5</v>
      </c>
      <c r="F15" s="72">
        <v>0.5</v>
      </c>
      <c r="G15" s="72">
        <v>0.5</v>
      </c>
      <c r="H15" s="73">
        <v>0.5</v>
      </c>
    </row>
    <row r="16" spans="1:8" ht="18.399999999999999" customHeight="1">
      <c r="A16" s="11" t="s">
        <v>97</v>
      </c>
      <c r="B16" s="75">
        <v>0.75</v>
      </c>
      <c r="C16" s="76">
        <v>0.75</v>
      </c>
      <c r="D16" s="76">
        <v>0.75</v>
      </c>
      <c r="E16" s="76">
        <v>0.75</v>
      </c>
      <c r="F16" s="76">
        <v>0.75</v>
      </c>
      <c r="G16" s="76">
        <v>0.75</v>
      </c>
      <c r="H16" s="77">
        <v>0.75</v>
      </c>
    </row>
    <row r="17" spans="1:8" ht="18.399999999999999" customHeight="1">
      <c r="A17" s="11" t="s">
        <v>100</v>
      </c>
      <c r="B17" s="74">
        <v>0.3</v>
      </c>
      <c r="C17" s="72">
        <v>0.3</v>
      </c>
      <c r="D17" s="72">
        <v>0.3</v>
      </c>
      <c r="E17" s="72">
        <v>0.3</v>
      </c>
      <c r="F17" s="72">
        <v>0.3</v>
      </c>
      <c r="G17" s="72">
        <v>0.3</v>
      </c>
      <c r="H17" s="73">
        <v>0.3</v>
      </c>
    </row>
    <row r="18" spans="1:8" ht="18.399999999999999" customHeight="1">
      <c r="A18" s="8" t="s">
        <v>101</v>
      </c>
      <c r="B18" s="75">
        <v>1.81</v>
      </c>
      <c r="C18" s="76">
        <v>1.81</v>
      </c>
      <c r="D18" s="76">
        <v>1.81</v>
      </c>
      <c r="E18" s="76">
        <v>1.81</v>
      </c>
      <c r="F18" s="76">
        <v>1.81</v>
      </c>
      <c r="G18" s="76">
        <v>1.81</v>
      </c>
      <c r="H18" s="77">
        <v>1.81</v>
      </c>
    </row>
    <row r="19" spans="1:8" ht="18.399999999999999" customHeight="1">
      <c r="A19" s="8" t="s">
        <v>98</v>
      </c>
      <c r="B19" s="74">
        <v>0.2</v>
      </c>
      <c r="C19" s="72">
        <v>0.2</v>
      </c>
      <c r="D19" s="72">
        <v>0.2</v>
      </c>
      <c r="E19" s="72">
        <v>0.2</v>
      </c>
      <c r="F19" s="72">
        <v>0.2</v>
      </c>
      <c r="G19" s="72">
        <v>0.2</v>
      </c>
      <c r="H19" s="73">
        <v>0.2</v>
      </c>
    </row>
    <row r="20" spans="1:8" ht="18.399999999999999" customHeight="1">
      <c r="A20" s="11" t="s">
        <v>99</v>
      </c>
      <c r="B20" s="74">
        <v>0.9</v>
      </c>
      <c r="C20" s="72">
        <v>0.9</v>
      </c>
      <c r="D20" s="72">
        <v>0.9</v>
      </c>
      <c r="E20" s="72">
        <v>0.9</v>
      </c>
      <c r="F20" s="72">
        <v>0.9</v>
      </c>
      <c r="G20" s="72">
        <v>0.9</v>
      </c>
      <c r="H20" s="73">
        <v>0.9</v>
      </c>
    </row>
    <row r="21" spans="1:8" ht="18.399999999999999" customHeight="1">
      <c r="A21" s="11" t="s">
        <v>103</v>
      </c>
      <c r="B21" s="75">
        <v>0.25</v>
      </c>
      <c r="C21" s="76">
        <v>0.25</v>
      </c>
      <c r="D21" s="76">
        <v>0.25</v>
      </c>
      <c r="E21" s="76">
        <v>0.25</v>
      </c>
      <c r="F21" s="76">
        <v>0.25</v>
      </c>
      <c r="G21" s="76">
        <v>0.25</v>
      </c>
      <c r="H21" s="77">
        <v>0.25</v>
      </c>
    </row>
    <row r="22" spans="1:8" ht="18.399999999999999" customHeight="1">
      <c r="A22" s="8" t="s">
        <v>104</v>
      </c>
      <c r="B22" s="75">
        <v>1.87</v>
      </c>
      <c r="C22" s="76">
        <v>1.87</v>
      </c>
      <c r="D22" s="76">
        <v>1.87</v>
      </c>
      <c r="E22" s="76">
        <v>1.87</v>
      </c>
      <c r="F22" s="76">
        <v>1.87</v>
      </c>
      <c r="G22" s="76">
        <v>1.87</v>
      </c>
      <c r="H22" s="77">
        <v>1.87</v>
      </c>
    </row>
    <row r="23" spans="1:8" ht="18.399999999999999" customHeight="1">
      <c r="A23" s="14" t="s">
        <v>23</v>
      </c>
      <c r="B23" s="21">
        <v>10</v>
      </c>
      <c r="C23" s="2">
        <v>4</v>
      </c>
      <c r="D23" s="2">
        <v>2</v>
      </c>
      <c r="E23" s="2">
        <v>6</v>
      </c>
      <c r="F23" s="2">
        <v>4</v>
      </c>
      <c r="G23" s="2">
        <v>2</v>
      </c>
      <c r="H23" s="9">
        <v>2</v>
      </c>
    </row>
    <row r="24" spans="1:8" ht="18.399999999999999" customHeight="1">
      <c r="A24" s="8" t="s">
        <v>34</v>
      </c>
      <c r="B24" s="24">
        <v>86</v>
      </c>
      <c r="C24" s="15">
        <v>90</v>
      </c>
      <c r="D24" s="15">
        <v>92</v>
      </c>
      <c r="E24" s="15">
        <v>68</v>
      </c>
      <c r="F24" s="15">
        <v>71</v>
      </c>
      <c r="G24" s="15">
        <v>56</v>
      </c>
      <c r="H24" s="16">
        <v>93</v>
      </c>
    </row>
    <row r="25" spans="1:8" ht="18.399999999999999" customHeight="1" thickBot="1">
      <c r="A25" s="17" t="s">
        <v>33</v>
      </c>
      <c r="B25" s="25">
        <v>14</v>
      </c>
      <c r="C25" s="18">
        <v>10</v>
      </c>
      <c r="D25" s="18">
        <v>8</v>
      </c>
      <c r="E25" s="18">
        <v>32</v>
      </c>
      <c r="F25" s="18">
        <v>29</v>
      </c>
      <c r="G25" s="18">
        <v>44</v>
      </c>
      <c r="H25" s="19">
        <v>7</v>
      </c>
    </row>
    <row r="26" spans="1:8" ht="18.399999999999999" customHeight="1">
      <c r="A26" s="115" t="s">
        <v>129</v>
      </c>
      <c r="B26" s="116"/>
      <c r="C26" s="116"/>
      <c r="D26" s="116"/>
      <c r="E26" s="116"/>
      <c r="F26" s="116"/>
      <c r="G26" s="116"/>
      <c r="H26" s="117"/>
    </row>
    <row r="27" spans="1:8" ht="18.399999999999999" customHeight="1" thickBot="1">
      <c r="A27" s="120" t="s">
        <v>128</v>
      </c>
      <c r="B27" s="121"/>
      <c r="C27" s="121"/>
      <c r="D27" s="121"/>
      <c r="E27" s="121"/>
      <c r="F27" s="121"/>
      <c r="G27" s="121"/>
      <c r="H27" s="122"/>
    </row>
    <row r="29" spans="1:8" ht="18.399999999999999" customHeight="1">
      <c r="A29" s="7"/>
      <c r="B29" s="3"/>
      <c r="C29" s="3"/>
      <c r="D29" s="3"/>
      <c r="E29" s="3"/>
      <c r="F29" s="3"/>
      <c r="G29" s="3"/>
      <c r="H29" s="3"/>
    </row>
    <row r="30" spans="1:8" ht="18.399999999999999" customHeight="1">
      <c r="B30" s="3"/>
      <c r="C30" s="3"/>
      <c r="D30" s="3"/>
      <c r="E30" s="3"/>
      <c r="F30" s="3"/>
      <c r="G30" s="3"/>
      <c r="H30" s="3"/>
    </row>
    <row r="31" spans="1:8" ht="18.399999999999999" customHeight="1">
      <c r="A31" s="6"/>
      <c r="B31" s="3"/>
      <c r="C31" s="3"/>
      <c r="D31" s="3"/>
      <c r="E31" s="3"/>
      <c r="F31" s="3"/>
      <c r="G31" s="3"/>
      <c r="H31" s="3"/>
    </row>
  </sheetData>
  <mergeCells count="3">
    <mergeCell ref="A26:H26"/>
    <mergeCell ref="A1:A2"/>
    <mergeCell ref="A27:H27"/>
  </mergeCells>
  <phoneticPr fontId="6" type="noConversion"/>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0FBB1-86C3-4E18-961A-505D0D113823}">
  <dimension ref="A1:J167"/>
  <sheetViews>
    <sheetView zoomScale="70" zoomScaleNormal="70" workbookViewId="0">
      <selection activeCell="K6" sqref="K6"/>
    </sheetView>
  </sheetViews>
  <sheetFormatPr defaultColWidth="21.9296875" defaultRowHeight="22.25" customHeight="1"/>
  <cols>
    <col min="1" max="1" width="31.46484375" customWidth="1"/>
    <col min="2" max="10" width="23.9296875" customWidth="1"/>
  </cols>
  <sheetData>
    <row r="1" spans="1:10" ht="22.25" customHeight="1" thickBot="1">
      <c r="A1" s="59"/>
      <c r="B1" s="129" t="s">
        <v>45</v>
      </c>
      <c r="C1" s="130"/>
      <c r="D1" s="130"/>
      <c r="E1" s="130"/>
      <c r="F1" s="130"/>
      <c r="G1" s="130"/>
      <c r="H1" s="131"/>
    </row>
    <row r="2" spans="1:10" ht="22.25" customHeight="1" thickBot="1">
      <c r="A2" s="55" t="s">
        <v>77</v>
      </c>
      <c r="B2" s="56" t="s">
        <v>39</v>
      </c>
      <c r="C2" s="57" t="s">
        <v>38</v>
      </c>
      <c r="D2" s="57" t="s">
        <v>44</v>
      </c>
      <c r="E2" s="57" t="s">
        <v>41</v>
      </c>
      <c r="F2" s="57" t="s">
        <v>42</v>
      </c>
      <c r="G2" s="57" t="s">
        <v>43</v>
      </c>
      <c r="H2" s="58" t="s">
        <v>40</v>
      </c>
    </row>
    <row r="3" spans="1:10" ht="22.25" customHeight="1" thickBot="1">
      <c r="A3" s="28" t="s">
        <v>46</v>
      </c>
      <c r="B3" s="54">
        <v>0.3</v>
      </c>
      <c r="C3" s="26">
        <v>0.8</v>
      </c>
      <c r="D3" s="26">
        <v>0.3</v>
      </c>
      <c r="E3" s="26">
        <v>0.3</v>
      </c>
      <c r="F3" s="26">
        <v>0.5</v>
      </c>
      <c r="G3" s="26">
        <v>0.3</v>
      </c>
      <c r="H3" s="27">
        <v>0.3</v>
      </c>
    </row>
    <row r="4" spans="1:10" ht="22.25" customHeight="1">
      <c r="A4" s="81" t="s">
        <v>134</v>
      </c>
      <c r="B4" s="53"/>
      <c r="C4" s="53"/>
      <c r="D4" s="53"/>
      <c r="E4" s="53"/>
      <c r="F4" s="53"/>
      <c r="G4" s="53"/>
      <c r="H4" s="53"/>
    </row>
    <row r="5" spans="1:10" ht="22.25" customHeight="1">
      <c r="A5" s="52"/>
      <c r="B5" s="53"/>
      <c r="C5" s="53"/>
      <c r="D5" s="53"/>
      <c r="E5" s="53"/>
      <c r="F5" s="53"/>
      <c r="G5" s="53"/>
      <c r="H5" s="53"/>
    </row>
    <row r="6" spans="1:10" ht="22.25" customHeight="1" thickBot="1">
      <c r="A6" s="135" t="s">
        <v>133</v>
      </c>
      <c r="B6" s="135"/>
      <c r="C6" s="135"/>
      <c r="D6" s="135"/>
      <c r="E6" s="135"/>
      <c r="F6" s="135"/>
      <c r="G6" s="135"/>
      <c r="H6" s="135"/>
      <c r="I6" s="135"/>
      <c r="J6" s="135"/>
    </row>
    <row r="7" spans="1:10" ht="22.25" customHeight="1" thickBot="1">
      <c r="A7" s="126" t="s">
        <v>39</v>
      </c>
      <c r="B7" s="127"/>
      <c r="C7" s="127"/>
      <c r="D7" s="127"/>
      <c r="E7" s="127"/>
      <c r="F7" s="127"/>
      <c r="G7" s="127"/>
      <c r="H7" s="127"/>
      <c r="I7" s="127"/>
      <c r="J7" s="128"/>
    </row>
    <row r="8" spans="1:10" ht="22.25" customHeight="1" thickBot="1">
      <c r="A8" s="40" t="s">
        <v>47</v>
      </c>
      <c r="B8" s="41" t="s">
        <v>48</v>
      </c>
      <c r="C8" s="41" t="s">
        <v>49</v>
      </c>
      <c r="D8" s="41" t="s">
        <v>50</v>
      </c>
      <c r="E8" s="41" t="s">
        <v>72</v>
      </c>
      <c r="F8" s="41" t="s">
        <v>78</v>
      </c>
      <c r="G8" s="41" t="s">
        <v>51</v>
      </c>
      <c r="H8" s="41" t="s">
        <v>75</v>
      </c>
      <c r="I8" s="41" t="s">
        <v>74</v>
      </c>
      <c r="J8" s="42" t="s">
        <v>73</v>
      </c>
    </row>
    <row r="9" spans="1:10" ht="22.25" customHeight="1" thickBot="1">
      <c r="A9" s="132" t="s">
        <v>85</v>
      </c>
      <c r="B9" s="133"/>
      <c r="C9" s="133"/>
      <c r="D9" s="133"/>
      <c r="E9" s="133"/>
      <c r="F9" s="133"/>
      <c r="G9" s="133"/>
      <c r="H9" s="133"/>
      <c r="I9" s="133"/>
      <c r="J9" s="134"/>
    </row>
    <row r="10" spans="1:10" ht="22.25" customHeight="1">
      <c r="A10" s="43" t="s">
        <v>82</v>
      </c>
      <c r="B10" s="44" t="s">
        <v>71</v>
      </c>
      <c r="C10" s="44">
        <v>2.5399999999999999E-2</v>
      </c>
      <c r="D10" s="44">
        <v>0.72</v>
      </c>
      <c r="E10" s="44">
        <f>C10/D10</f>
        <v>3.5277777777777776E-2</v>
      </c>
      <c r="F10" s="44">
        <v>1856</v>
      </c>
      <c r="G10" s="44">
        <v>840</v>
      </c>
      <c r="H10" s="44">
        <v>0.9</v>
      </c>
      <c r="I10" s="44">
        <v>0.2</v>
      </c>
      <c r="J10" s="45">
        <v>0.3</v>
      </c>
    </row>
    <row r="11" spans="1:10" ht="22.25" customHeight="1">
      <c r="A11" s="43" t="s">
        <v>83</v>
      </c>
      <c r="B11" s="44" t="s">
        <v>55</v>
      </c>
      <c r="C11" s="44">
        <v>1.5900000000000001E-2</v>
      </c>
      <c r="D11" s="44">
        <v>0.16</v>
      </c>
      <c r="E11" s="44">
        <f>C11/D11</f>
        <v>9.9375000000000005E-2</v>
      </c>
      <c r="F11" s="44">
        <v>800</v>
      </c>
      <c r="G11" s="44">
        <v>1090</v>
      </c>
      <c r="H11" s="44" t="s">
        <v>93</v>
      </c>
      <c r="I11" s="44" t="s">
        <v>93</v>
      </c>
      <c r="J11" s="45" t="s">
        <v>93</v>
      </c>
    </row>
    <row r="12" spans="1:10" ht="22.25" customHeight="1">
      <c r="A12" s="43" t="s">
        <v>54</v>
      </c>
      <c r="B12" s="44" t="s">
        <v>55</v>
      </c>
      <c r="C12" s="44" t="s">
        <v>93</v>
      </c>
      <c r="D12" s="44" t="s">
        <v>93</v>
      </c>
      <c r="E12" s="44">
        <v>0.32152775</v>
      </c>
      <c r="F12" s="44" t="s">
        <v>93</v>
      </c>
      <c r="G12" s="44" t="s">
        <v>93</v>
      </c>
      <c r="H12" s="44">
        <v>0.9</v>
      </c>
      <c r="I12" s="44">
        <v>0.3</v>
      </c>
      <c r="J12" s="45">
        <v>0.3</v>
      </c>
    </row>
    <row r="13" spans="1:10" ht="22.25" customHeight="1" thickBot="1">
      <c r="A13" s="46" t="s">
        <v>83</v>
      </c>
      <c r="B13" s="47" t="s">
        <v>55</v>
      </c>
      <c r="C13" s="47">
        <v>1.5900000000000001E-2</v>
      </c>
      <c r="D13" s="47">
        <v>0.16</v>
      </c>
      <c r="E13" s="47">
        <f>C13/D13</f>
        <v>9.9375000000000005E-2</v>
      </c>
      <c r="F13" s="47">
        <v>800</v>
      </c>
      <c r="G13" s="47">
        <v>1090</v>
      </c>
      <c r="H13" s="47" t="s">
        <v>93</v>
      </c>
      <c r="I13" s="47" t="s">
        <v>93</v>
      </c>
      <c r="J13" s="48" t="s">
        <v>93</v>
      </c>
    </row>
    <row r="14" spans="1:10" ht="22.25" customHeight="1" thickBot="1">
      <c r="A14" s="132" t="s">
        <v>79</v>
      </c>
      <c r="B14" s="133"/>
      <c r="C14" s="133"/>
      <c r="D14" s="133"/>
      <c r="E14" s="133"/>
      <c r="F14" s="133"/>
      <c r="G14" s="133"/>
      <c r="H14" s="133"/>
      <c r="I14" s="133"/>
      <c r="J14" s="134"/>
    </row>
    <row r="15" spans="1:10" ht="22.25" customHeight="1">
      <c r="A15" s="49" t="s">
        <v>58</v>
      </c>
      <c r="B15" s="44" t="s">
        <v>59</v>
      </c>
      <c r="C15" s="44">
        <v>9.4999999999999998E-3</v>
      </c>
      <c r="D15" s="44">
        <v>0.16</v>
      </c>
      <c r="E15" s="44">
        <f>C15/D15</f>
        <v>5.9374999999999997E-2</v>
      </c>
      <c r="F15" s="44">
        <v>1120</v>
      </c>
      <c r="G15" s="44">
        <v>1460</v>
      </c>
      <c r="H15" s="44">
        <v>0.75</v>
      </c>
      <c r="I15" s="44">
        <v>0.5</v>
      </c>
      <c r="J15" s="45" t="s">
        <v>60</v>
      </c>
    </row>
    <row r="16" spans="1:10" ht="22.25" customHeight="1">
      <c r="A16" s="43" t="s">
        <v>84</v>
      </c>
      <c r="B16" s="44" t="s">
        <v>55</v>
      </c>
      <c r="C16" s="44" t="s">
        <v>93</v>
      </c>
      <c r="D16" s="44" t="s">
        <v>93</v>
      </c>
      <c r="E16" s="44">
        <v>1.3691787600000001</v>
      </c>
      <c r="F16" s="44" t="s">
        <v>93</v>
      </c>
      <c r="G16" s="44" t="s">
        <v>93</v>
      </c>
      <c r="H16" s="44">
        <v>0.9</v>
      </c>
      <c r="I16" s="44">
        <v>0.3</v>
      </c>
      <c r="J16" s="45">
        <v>0.3</v>
      </c>
    </row>
    <row r="17" spans="1:10" ht="22.25" customHeight="1" thickBot="1">
      <c r="A17" s="46" t="s">
        <v>62</v>
      </c>
      <c r="B17" s="47" t="s">
        <v>57</v>
      </c>
      <c r="C17" s="47">
        <v>8.0000000000000004E-4</v>
      </c>
      <c r="D17" s="47">
        <v>45.28</v>
      </c>
      <c r="E17" s="44">
        <f>C17/D17</f>
        <v>1.7667844522968198E-5</v>
      </c>
      <c r="F17" s="47">
        <v>7824</v>
      </c>
      <c r="G17" s="47">
        <v>500</v>
      </c>
      <c r="H17" s="47">
        <v>0.75</v>
      </c>
      <c r="I17" s="47">
        <v>0.55000000000000004</v>
      </c>
      <c r="J17" s="48" t="s">
        <v>93</v>
      </c>
    </row>
    <row r="18" spans="1:10" ht="22.25" customHeight="1" thickBot="1">
      <c r="A18" s="132" t="s">
        <v>86</v>
      </c>
      <c r="B18" s="133"/>
      <c r="C18" s="133"/>
      <c r="D18" s="133"/>
      <c r="E18" s="133"/>
      <c r="F18" s="133"/>
      <c r="G18" s="133"/>
      <c r="H18" s="133"/>
      <c r="I18" s="133"/>
      <c r="J18" s="134"/>
    </row>
    <row r="19" spans="1:10" ht="22.25" customHeight="1">
      <c r="A19" s="43" t="s">
        <v>63</v>
      </c>
      <c r="B19" s="44" t="s">
        <v>55</v>
      </c>
      <c r="C19" s="44" t="s">
        <v>93</v>
      </c>
      <c r="D19" s="44" t="s">
        <v>93</v>
      </c>
      <c r="E19" s="44">
        <v>2.9938733024518199E-2</v>
      </c>
      <c r="F19" s="44" t="s">
        <v>93</v>
      </c>
      <c r="G19" s="44" t="s">
        <v>93</v>
      </c>
      <c r="H19" s="44">
        <v>0.9</v>
      </c>
      <c r="I19" s="44">
        <v>0.3</v>
      </c>
      <c r="J19" s="45">
        <v>0.3</v>
      </c>
    </row>
    <row r="20" spans="1:10" ht="22.25" customHeight="1">
      <c r="A20" s="43" t="s">
        <v>64</v>
      </c>
      <c r="B20" s="44" t="s">
        <v>53</v>
      </c>
      <c r="C20" s="44">
        <v>0.1016</v>
      </c>
      <c r="D20" s="44">
        <v>2.31</v>
      </c>
      <c r="E20" s="44">
        <f>C20/D20</f>
        <v>4.3982683982683977E-2</v>
      </c>
      <c r="F20" s="44">
        <v>2322</v>
      </c>
      <c r="G20" s="44">
        <v>832</v>
      </c>
      <c r="H20" s="44" t="s">
        <v>93</v>
      </c>
      <c r="I20" s="44" t="s">
        <v>93</v>
      </c>
      <c r="J20" s="45" t="s">
        <v>93</v>
      </c>
    </row>
    <row r="21" spans="1:10" ht="22.25" customHeight="1" thickBot="1">
      <c r="A21" s="46" t="s">
        <v>65</v>
      </c>
      <c r="B21" s="47" t="s">
        <v>66</v>
      </c>
      <c r="C21" s="47" t="s">
        <v>93</v>
      </c>
      <c r="D21" s="47" t="s">
        <v>93</v>
      </c>
      <c r="E21" s="44">
        <v>0.21648000000000001</v>
      </c>
      <c r="F21" s="47" t="s">
        <v>93</v>
      </c>
      <c r="G21" s="47" t="s">
        <v>93</v>
      </c>
      <c r="H21" s="47">
        <v>0.9</v>
      </c>
      <c r="I21" s="47">
        <v>0.3</v>
      </c>
      <c r="J21" s="48">
        <v>0.2</v>
      </c>
    </row>
    <row r="22" spans="1:10" ht="22.25" customHeight="1" thickBot="1">
      <c r="A22" s="132" t="s">
        <v>80</v>
      </c>
      <c r="B22" s="133"/>
      <c r="C22" s="133"/>
      <c r="D22" s="133"/>
      <c r="E22" s="133"/>
      <c r="F22" s="133"/>
      <c r="G22" s="133"/>
      <c r="H22" s="133"/>
      <c r="I22" s="133"/>
      <c r="J22" s="134"/>
    </row>
    <row r="23" spans="1:10" ht="22.25" customHeight="1">
      <c r="A23" s="43" t="s">
        <v>67</v>
      </c>
      <c r="B23" s="44" t="s">
        <v>68</v>
      </c>
      <c r="C23" s="44" t="s">
        <v>93</v>
      </c>
      <c r="D23" s="44" t="s">
        <v>93</v>
      </c>
      <c r="E23" s="44">
        <v>0.21648000000000001</v>
      </c>
      <c r="F23" s="44" t="s">
        <v>93</v>
      </c>
      <c r="G23" s="44" t="s">
        <v>93</v>
      </c>
      <c r="H23" s="44">
        <v>0.9</v>
      </c>
      <c r="I23" s="44">
        <v>0.3</v>
      </c>
      <c r="J23" s="45">
        <v>0.2</v>
      </c>
    </row>
    <row r="24" spans="1:10" ht="22.25" customHeight="1">
      <c r="A24" s="43" t="s">
        <v>69</v>
      </c>
      <c r="B24" s="44" t="s">
        <v>53</v>
      </c>
      <c r="C24" s="44">
        <v>0.1016</v>
      </c>
      <c r="D24" s="44">
        <v>2.31</v>
      </c>
      <c r="E24" s="44">
        <f>C24/D24</f>
        <v>4.3982683982683977E-2</v>
      </c>
      <c r="F24" s="44">
        <v>2322</v>
      </c>
      <c r="G24" s="44">
        <v>832</v>
      </c>
      <c r="H24" s="44" t="s">
        <v>60</v>
      </c>
      <c r="I24" s="44" t="s">
        <v>60</v>
      </c>
      <c r="J24" s="45" t="s">
        <v>60</v>
      </c>
    </row>
    <row r="25" spans="1:10" ht="22.25" customHeight="1" thickBot="1">
      <c r="A25" s="46" t="s">
        <v>63</v>
      </c>
      <c r="B25" s="47" t="s">
        <v>55</v>
      </c>
      <c r="C25" s="47" t="s">
        <v>93</v>
      </c>
      <c r="D25" s="47" t="s">
        <v>93</v>
      </c>
      <c r="E25" s="44">
        <v>2.9938733024518199E-2</v>
      </c>
      <c r="F25" s="47" t="s">
        <v>93</v>
      </c>
      <c r="G25" s="47" t="s">
        <v>93</v>
      </c>
      <c r="H25" s="47">
        <v>0.9</v>
      </c>
      <c r="I25" s="47">
        <v>0.3</v>
      </c>
      <c r="J25" s="48">
        <v>0.3</v>
      </c>
    </row>
    <row r="26" spans="1:10" ht="22.25" customHeight="1" thickBot="1">
      <c r="A26" s="132" t="s">
        <v>81</v>
      </c>
      <c r="B26" s="133"/>
      <c r="C26" s="133"/>
      <c r="D26" s="133"/>
      <c r="E26" s="133"/>
      <c r="F26" s="133"/>
      <c r="G26" s="133"/>
      <c r="H26" s="133"/>
      <c r="I26" s="133"/>
      <c r="J26" s="134"/>
    </row>
    <row r="27" spans="1:10" ht="22.25" customHeight="1">
      <c r="A27" s="49" t="s">
        <v>70</v>
      </c>
      <c r="B27" s="44" t="s">
        <v>71</v>
      </c>
      <c r="C27" s="44">
        <v>1.2699999999999999E-2</v>
      </c>
      <c r="D27" s="44">
        <v>0.16</v>
      </c>
      <c r="E27" s="44">
        <f>C27/D27</f>
        <v>7.9375000000000001E-2</v>
      </c>
      <c r="F27" s="44">
        <v>800</v>
      </c>
      <c r="G27" s="44">
        <v>1090</v>
      </c>
      <c r="H27" s="44">
        <v>0.9</v>
      </c>
      <c r="I27" s="44">
        <v>0.3</v>
      </c>
      <c r="J27" s="45">
        <v>0.5</v>
      </c>
    </row>
    <row r="28" spans="1:10" ht="22.25" customHeight="1" thickBot="1">
      <c r="A28" s="50" t="s">
        <v>70</v>
      </c>
      <c r="B28" s="47" t="s">
        <v>71</v>
      </c>
      <c r="C28" s="47">
        <v>1.2699999999999999E-2</v>
      </c>
      <c r="D28" s="47">
        <v>0.16</v>
      </c>
      <c r="E28" s="47">
        <f>C28/D28</f>
        <v>7.9375000000000001E-2</v>
      </c>
      <c r="F28" s="47">
        <v>800</v>
      </c>
      <c r="G28" s="47">
        <v>1090</v>
      </c>
      <c r="H28" s="47">
        <v>0.9</v>
      </c>
      <c r="I28" s="47">
        <v>0.3</v>
      </c>
      <c r="J28" s="48">
        <v>0.5</v>
      </c>
    </row>
    <row r="29" spans="1:10" ht="22.25" customHeight="1">
      <c r="A29" s="51"/>
      <c r="B29" s="1"/>
      <c r="C29" s="1"/>
      <c r="D29" s="1"/>
      <c r="E29" s="1"/>
      <c r="F29" s="1"/>
      <c r="G29" s="1"/>
      <c r="H29" s="1"/>
      <c r="I29" s="1"/>
      <c r="J29" s="1"/>
    </row>
    <row r="30" spans="1:10" ht="22.25" customHeight="1" thickBot="1"/>
    <row r="31" spans="1:10" ht="22.25" customHeight="1" thickBot="1">
      <c r="A31" s="126" t="s">
        <v>38</v>
      </c>
      <c r="B31" s="127"/>
      <c r="C31" s="127"/>
      <c r="D31" s="127"/>
      <c r="E31" s="127"/>
      <c r="F31" s="127"/>
      <c r="G31" s="127"/>
      <c r="H31" s="127"/>
      <c r="I31" s="127"/>
      <c r="J31" s="128"/>
    </row>
    <row r="32" spans="1:10" ht="22.25" customHeight="1" thickBot="1">
      <c r="A32" s="60" t="s">
        <v>47</v>
      </c>
      <c r="B32" s="61" t="s">
        <v>48</v>
      </c>
      <c r="C32" s="61" t="s">
        <v>49</v>
      </c>
      <c r="D32" s="61" t="s">
        <v>50</v>
      </c>
      <c r="E32" s="61" t="s">
        <v>72</v>
      </c>
      <c r="F32" s="61" t="s">
        <v>87</v>
      </c>
      <c r="G32" s="61" t="s">
        <v>51</v>
      </c>
      <c r="H32" s="61" t="s">
        <v>75</v>
      </c>
      <c r="I32" s="61" t="s">
        <v>74</v>
      </c>
      <c r="J32" s="62" t="s">
        <v>73</v>
      </c>
    </row>
    <row r="33" spans="1:10" ht="22.25" customHeight="1" thickBot="1">
      <c r="A33" s="123" t="s">
        <v>88</v>
      </c>
      <c r="B33" s="124"/>
      <c r="C33" s="124"/>
      <c r="D33" s="124"/>
      <c r="E33" s="124"/>
      <c r="F33" s="124"/>
      <c r="G33" s="124"/>
      <c r="H33" s="124"/>
      <c r="I33" s="124"/>
      <c r="J33" s="125"/>
    </row>
    <row r="34" spans="1:10" ht="22.25" customHeight="1">
      <c r="A34" s="63" t="s">
        <v>52</v>
      </c>
      <c r="B34" s="64" t="s">
        <v>53</v>
      </c>
      <c r="C34" s="64">
        <v>0.20319999999999999</v>
      </c>
      <c r="D34" s="64">
        <v>0.36458047986245201</v>
      </c>
      <c r="E34" s="64">
        <f>C34/D34</f>
        <v>0.55735293364214877</v>
      </c>
      <c r="F34" s="64">
        <v>2322</v>
      </c>
      <c r="G34" s="64">
        <v>832</v>
      </c>
      <c r="H34" s="64">
        <v>0.9</v>
      </c>
      <c r="I34" s="64">
        <v>0.2</v>
      </c>
      <c r="J34" s="65" t="s">
        <v>94</v>
      </c>
    </row>
    <row r="35" spans="1:10" ht="22.25" customHeight="1">
      <c r="A35" s="63" t="s">
        <v>54</v>
      </c>
      <c r="B35" s="64" t="s">
        <v>55</v>
      </c>
      <c r="C35" s="64" t="s">
        <v>94</v>
      </c>
      <c r="D35" s="64" t="s">
        <v>95</v>
      </c>
      <c r="E35" s="64">
        <v>2.9938733024518199E-2</v>
      </c>
      <c r="F35" s="64" t="s">
        <v>94</v>
      </c>
      <c r="G35" s="64" t="s">
        <v>95</v>
      </c>
      <c r="H35" s="64">
        <v>0.9</v>
      </c>
      <c r="I35" s="64">
        <v>0.3</v>
      </c>
      <c r="J35" s="65">
        <v>0.3</v>
      </c>
    </row>
    <row r="36" spans="1:10" ht="22.25" customHeight="1" thickBot="1">
      <c r="A36" s="66" t="s">
        <v>56</v>
      </c>
      <c r="B36" s="67" t="s">
        <v>57</v>
      </c>
      <c r="C36" s="67">
        <v>1.2699999999999999E-2</v>
      </c>
      <c r="D36" s="67">
        <v>0.16</v>
      </c>
      <c r="E36" s="64">
        <f>C36/D36</f>
        <v>7.9375000000000001E-2</v>
      </c>
      <c r="F36" s="67">
        <v>800</v>
      </c>
      <c r="G36" s="67">
        <v>1090</v>
      </c>
      <c r="H36" s="67">
        <v>0.9</v>
      </c>
      <c r="I36" s="67">
        <v>0.3</v>
      </c>
      <c r="J36" s="68">
        <v>0.5</v>
      </c>
    </row>
    <row r="37" spans="1:10" ht="22.25" customHeight="1" thickBot="1">
      <c r="A37" s="123" t="s">
        <v>89</v>
      </c>
      <c r="B37" s="124"/>
      <c r="C37" s="124"/>
      <c r="D37" s="124"/>
      <c r="E37" s="124"/>
      <c r="F37" s="124"/>
      <c r="G37" s="124"/>
      <c r="H37" s="124"/>
      <c r="I37" s="124"/>
      <c r="J37" s="125"/>
    </row>
    <row r="38" spans="1:10" ht="22.25" customHeight="1">
      <c r="A38" s="69" t="s">
        <v>58</v>
      </c>
      <c r="B38" s="64" t="s">
        <v>59</v>
      </c>
      <c r="C38" s="64">
        <v>9.4999999999999998E-3</v>
      </c>
      <c r="D38" s="64">
        <v>0.16</v>
      </c>
      <c r="E38" s="64">
        <f>C38/D38</f>
        <v>5.9374999999999997E-2</v>
      </c>
      <c r="F38" s="64">
        <v>1120</v>
      </c>
      <c r="G38" s="64">
        <v>1460</v>
      </c>
      <c r="H38" s="64">
        <v>0.75</v>
      </c>
      <c r="I38" s="64">
        <v>0.5</v>
      </c>
      <c r="J38" s="65" t="s">
        <v>60</v>
      </c>
    </row>
    <row r="39" spans="1:10" ht="22.25" customHeight="1">
      <c r="A39" s="63" t="s">
        <v>61</v>
      </c>
      <c r="B39" s="64" t="s">
        <v>55</v>
      </c>
      <c r="C39" s="64" t="s">
        <v>94</v>
      </c>
      <c r="D39" s="64" t="s">
        <v>94</v>
      </c>
      <c r="E39" s="64">
        <v>1.19060733215547</v>
      </c>
      <c r="F39" s="64" t="s">
        <v>95</v>
      </c>
      <c r="G39" s="64" t="s">
        <v>94</v>
      </c>
      <c r="H39" s="64">
        <v>0.9</v>
      </c>
      <c r="I39" s="64">
        <v>0.3</v>
      </c>
      <c r="J39" s="65">
        <v>0.3</v>
      </c>
    </row>
    <row r="40" spans="1:10" ht="22.25" customHeight="1" thickBot="1">
      <c r="A40" s="66" t="s">
        <v>62</v>
      </c>
      <c r="B40" s="67" t="s">
        <v>57</v>
      </c>
      <c r="C40" s="67">
        <v>8.0000000000000004E-4</v>
      </c>
      <c r="D40" s="67">
        <v>45.28</v>
      </c>
      <c r="E40" s="64">
        <f>C40/D40</f>
        <v>1.7667844522968198E-5</v>
      </c>
      <c r="F40" s="67">
        <v>7824</v>
      </c>
      <c r="G40" s="67">
        <v>500</v>
      </c>
      <c r="H40" s="67">
        <v>0.75</v>
      </c>
      <c r="I40" s="67">
        <v>0.55000000000000004</v>
      </c>
      <c r="J40" s="68" t="s">
        <v>94</v>
      </c>
    </row>
    <row r="41" spans="1:10" ht="22.25" customHeight="1" thickBot="1">
      <c r="A41" s="123" t="s">
        <v>90</v>
      </c>
      <c r="B41" s="124"/>
      <c r="C41" s="124"/>
      <c r="D41" s="124"/>
      <c r="E41" s="124"/>
      <c r="F41" s="124"/>
      <c r="G41" s="124"/>
      <c r="H41" s="124"/>
      <c r="I41" s="124"/>
      <c r="J41" s="125"/>
    </row>
    <row r="42" spans="1:10" ht="22.25" customHeight="1">
      <c r="A42" s="63" t="s">
        <v>63</v>
      </c>
      <c r="B42" s="64" t="s">
        <v>55</v>
      </c>
      <c r="C42" s="64" t="s">
        <v>94</v>
      </c>
      <c r="D42" s="64" t="s">
        <v>94</v>
      </c>
      <c r="E42" s="64">
        <v>2.9938733024518199E-2</v>
      </c>
      <c r="F42" s="64" t="s">
        <v>94</v>
      </c>
      <c r="G42" s="64" t="s">
        <v>94</v>
      </c>
      <c r="H42" s="64">
        <v>0.9</v>
      </c>
      <c r="I42" s="64">
        <v>0.3</v>
      </c>
      <c r="J42" s="65">
        <v>0.3</v>
      </c>
    </row>
    <row r="43" spans="1:10" ht="22.25" customHeight="1">
      <c r="A43" s="63" t="s">
        <v>64</v>
      </c>
      <c r="B43" s="64" t="s">
        <v>53</v>
      </c>
      <c r="C43" s="64">
        <v>0.1016</v>
      </c>
      <c r="D43" s="64">
        <v>2.31</v>
      </c>
      <c r="E43" s="64">
        <f>C43/D43</f>
        <v>4.3982683982683977E-2</v>
      </c>
      <c r="F43" s="64">
        <v>2322</v>
      </c>
      <c r="G43" s="64">
        <v>832</v>
      </c>
      <c r="H43" s="64" t="s">
        <v>60</v>
      </c>
      <c r="I43" s="64" t="s">
        <v>60</v>
      </c>
      <c r="J43" s="65" t="s">
        <v>60</v>
      </c>
    </row>
    <row r="44" spans="1:10" ht="22.25" customHeight="1" thickBot="1">
      <c r="A44" s="66" t="s">
        <v>65</v>
      </c>
      <c r="B44" s="67" t="s">
        <v>66</v>
      </c>
      <c r="C44" s="67" t="s">
        <v>94</v>
      </c>
      <c r="D44" s="67" t="s">
        <v>94</v>
      </c>
      <c r="E44" s="64">
        <v>0.21648000000000001</v>
      </c>
      <c r="F44" s="67" t="s">
        <v>95</v>
      </c>
      <c r="G44" s="67" t="s">
        <v>95</v>
      </c>
      <c r="H44" s="67">
        <v>0.9</v>
      </c>
      <c r="I44" s="67">
        <v>0.3</v>
      </c>
      <c r="J44" s="68">
        <v>0.2</v>
      </c>
    </row>
    <row r="45" spans="1:10" ht="22.25" customHeight="1" thickBot="1">
      <c r="A45" s="123" t="s">
        <v>91</v>
      </c>
      <c r="B45" s="124"/>
      <c r="C45" s="124"/>
      <c r="D45" s="124"/>
      <c r="E45" s="124"/>
      <c r="F45" s="124"/>
      <c r="G45" s="124"/>
      <c r="H45" s="124"/>
      <c r="I45" s="124"/>
      <c r="J45" s="125"/>
    </row>
    <row r="46" spans="1:10" ht="22.25" customHeight="1">
      <c r="A46" s="63" t="s">
        <v>67</v>
      </c>
      <c r="B46" s="64" t="s">
        <v>68</v>
      </c>
      <c r="C46" s="64" t="s">
        <v>94</v>
      </c>
      <c r="D46" s="64" t="s">
        <v>94</v>
      </c>
      <c r="E46" s="64">
        <v>0.21648000000000001</v>
      </c>
      <c r="F46" s="64" t="s">
        <v>94</v>
      </c>
      <c r="G46" s="64" t="s">
        <v>94</v>
      </c>
      <c r="H46" s="64">
        <v>0.9</v>
      </c>
      <c r="I46" s="64">
        <v>0.3</v>
      </c>
      <c r="J46" s="65">
        <v>0.2</v>
      </c>
    </row>
    <row r="47" spans="1:10" ht="22.25" customHeight="1">
      <c r="A47" s="63" t="s">
        <v>69</v>
      </c>
      <c r="B47" s="64" t="s">
        <v>53</v>
      </c>
      <c r="C47" s="64">
        <v>0.1016</v>
      </c>
      <c r="D47" s="64">
        <v>2.31</v>
      </c>
      <c r="E47" s="64">
        <f>C47/D47</f>
        <v>4.3982683982683977E-2</v>
      </c>
      <c r="F47" s="64">
        <v>2322</v>
      </c>
      <c r="G47" s="64">
        <v>832</v>
      </c>
      <c r="H47" s="64" t="s">
        <v>60</v>
      </c>
      <c r="I47" s="64" t="s">
        <v>60</v>
      </c>
      <c r="J47" s="65" t="s">
        <v>60</v>
      </c>
    </row>
    <row r="48" spans="1:10" ht="22.25" customHeight="1" thickBot="1">
      <c r="A48" s="66" t="s">
        <v>63</v>
      </c>
      <c r="B48" s="67" t="s">
        <v>55</v>
      </c>
      <c r="C48" s="67" t="s">
        <v>94</v>
      </c>
      <c r="D48" s="67" t="s">
        <v>94</v>
      </c>
      <c r="E48" s="64">
        <v>2.9938733024518199E-2</v>
      </c>
      <c r="F48" s="67" t="s">
        <v>94</v>
      </c>
      <c r="G48" s="67" t="s">
        <v>94</v>
      </c>
      <c r="H48" s="67">
        <v>0.9</v>
      </c>
      <c r="I48" s="67">
        <v>0.3</v>
      </c>
      <c r="J48" s="68">
        <v>0.3</v>
      </c>
    </row>
    <row r="49" spans="1:10" ht="22.25" customHeight="1" thickBot="1">
      <c r="A49" s="123" t="s">
        <v>92</v>
      </c>
      <c r="B49" s="124"/>
      <c r="C49" s="124"/>
      <c r="D49" s="124"/>
      <c r="E49" s="124"/>
      <c r="F49" s="124"/>
      <c r="G49" s="124"/>
      <c r="H49" s="124"/>
      <c r="I49" s="124"/>
      <c r="J49" s="125"/>
    </row>
    <row r="50" spans="1:10" ht="22.25" customHeight="1">
      <c r="A50" s="69" t="s">
        <v>70</v>
      </c>
      <c r="B50" s="64" t="s">
        <v>71</v>
      </c>
      <c r="C50" s="64">
        <v>1.2699999999999999E-2</v>
      </c>
      <c r="D50" s="64">
        <v>0.16</v>
      </c>
      <c r="E50" s="64">
        <f>C50/D50</f>
        <v>7.9375000000000001E-2</v>
      </c>
      <c r="F50" s="64">
        <v>800</v>
      </c>
      <c r="G50" s="64">
        <v>1090</v>
      </c>
      <c r="H50" s="64">
        <v>0.9</v>
      </c>
      <c r="I50" s="64">
        <v>0.3</v>
      </c>
      <c r="J50" s="65">
        <v>0.5</v>
      </c>
    </row>
    <row r="51" spans="1:10" ht="22.25" customHeight="1" thickBot="1">
      <c r="A51" s="70" t="s">
        <v>70</v>
      </c>
      <c r="B51" s="67" t="s">
        <v>71</v>
      </c>
      <c r="C51" s="67">
        <v>1.2699999999999999E-2</v>
      </c>
      <c r="D51" s="67">
        <v>0.16</v>
      </c>
      <c r="E51" s="67">
        <f>C51/D51</f>
        <v>7.9375000000000001E-2</v>
      </c>
      <c r="F51" s="67">
        <v>800</v>
      </c>
      <c r="G51" s="67">
        <v>1090</v>
      </c>
      <c r="H51" s="67">
        <v>0.9</v>
      </c>
      <c r="I51" s="67">
        <v>0.3</v>
      </c>
      <c r="J51" s="68">
        <v>0.5</v>
      </c>
    </row>
    <row r="53" spans="1:10" ht="22.25" customHeight="1" thickBot="1"/>
    <row r="54" spans="1:10" ht="22.25" customHeight="1" thickBot="1">
      <c r="A54" s="126" t="s">
        <v>44</v>
      </c>
      <c r="B54" s="127"/>
      <c r="C54" s="127"/>
      <c r="D54" s="127"/>
      <c r="E54" s="127"/>
      <c r="F54" s="127"/>
      <c r="G54" s="127"/>
      <c r="H54" s="127"/>
      <c r="I54" s="127"/>
      <c r="J54" s="128"/>
    </row>
    <row r="55" spans="1:10" ht="22.25" customHeight="1" thickBot="1">
      <c r="A55" s="60" t="s">
        <v>47</v>
      </c>
      <c r="B55" s="61" t="s">
        <v>48</v>
      </c>
      <c r="C55" s="61" t="s">
        <v>49</v>
      </c>
      <c r="D55" s="61" t="s">
        <v>50</v>
      </c>
      <c r="E55" s="61" t="s">
        <v>72</v>
      </c>
      <c r="F55" s="61" t="s">
        <v>122</v>
      </c>
      <c r="G55" s="61" t="s">
        <v>51</v>
      </c>
      <c r="H55" s="61" t="s">
        <v>75</v>
      </c>
      <c r="I55" s="61" t="s">
        <v>74</v>
      </c>
      <c r="J55" s="62" t="s">
        <v>73</v>
      </c>
    </row>
    <row r="56" spans="1:10" ht="22.25" customHeight="1" thickBot="1">
      <c r="A56" s="123" t="s">
        <v>123</v>
      </c>
      <c r="B56" s="124"/>
      <c r="C56" s="124"/>
      <c r="D56" s="124"/>
      <c r="E56" s="124"/>
      <c r="F56" s="124"/>
      <c r="G56" s="124"/>
      <c r="H56" s="124"/>
      <c r="I56" s="124"/>
      <c r="J56" s="125"/>
    </row>
    <row r="57" spans="1:10" ht="22.25" customHeight="1">
      <c r="A57" s="63" t="s">
        <v>106</v>
      </c>
      <c r="B57" s="64" t="s">
        <v>107</v>
      </c>
      <c r="C57" s="64">
        <v>0.20319999999999999</v>
      </c>
      <c r="D57" s="64">
        <v>0.36458047986245201</v>
      </c>
      <c r="E57" s="64">
        <f>C57/D57</f>
        <v>0.55735293364214877</v>
      </c>
      <c r="F57" s="64">
        <v>2322</v>
      </c>
      <c r="G57" s="64">
        <v>832</v>
      </c>
      <c r="H57" s="64">
        <v>0.9</v>
      </c>
      <c r="I57" s="64">
        <v>0.2</v>
      </c>
      <c r="J57" s="65" t="s">
        <v>93</v>
      </c>
    </row>
    <row r="58" spans="1:10" ht="22.25" customHeight="1">
      <c r="A58" s="63" t="s">
        <v>108</v>
      </c>
      <c r="B58" s="64" t="s">
        <v>109</v>
      </c>
      <c r="C58" s="64" t="s">
        <v>93</v>
      </c>
      <c r="D58" s="64" t="s">
        <v>93</v>
      </c>
      <c r="E58" s="64">
        <v>2.9938733024518199E-2</v>
      </c>
      <c r="F58" s="64" t="s">
        <v>93</v>
      </c>
      <c r="G58" s="64" t="s">
        <v>93</v>
      </c>
      <c r="H58" s="64">
        <v>0.9</v>
      </c>
      <c r="I58" s="64">
        <v>0.3</v>
      </c>
      <c r="J58" s="65">
        <v>0.3</v>
      </c>
    </row>
    <row r="59" spans="1:10" ht="22.25" customHeight="1" thickBot="1">
      <c r="A59" s="66" t="s">
        <v>56</v>
      </c>
      <c r="B59" s="67" t="s">
        <v>110</v>
      </c>
      <c r="C59" s="67">
        <v>1.2699999999999999E-2</v>
      </c>
      <c r="D59" s="67">
        <v>0.16</v>
      </c>
      <c r="E59" s="64">
        <f>C59/D59</f>
        <v>7.9375000000000001E-2</v>
      </c>
      <c r="F59" s="67">
        <v>800</v>
      </c>
      <c r="G59" s="67">
        <v>1090</v>
      </c>
      <c r="H59" s="67">
        <v>0.9</v>
      </c>
      <c r="I59" s="67">
        <v>0.3</v>
      </c>
      <c r="J59" s="68">
        <v>0.5</v>
      </c>
    </row>
    <row r="60" spans="1:10" ht="22.25" customHeight="1" thickBot="1">
      <c r="A60" s="123" t="s">
        <v>124</v>
      </c>
      <c r="B60" s="124"/>
      <c r="C60" s="124"/>
      <c r="D60" s="124"/>
      <c r="E60" s="124"/>
      <c r="F60" s="124"/>
      <c r="G60" s="124"/>
      <c r="H60" s="124"/>
      <c r="I60" s="124"/>
      <c r="J60" s="125"/>
    </row>
    <row r="61" spans="1:10" ht="22.25" customHeight="1">
      <c r="A61" s="69" t="s">
        <v>111</v>
      </c>
      <c r="B61" s="64" t="s">
        <v>112</v>
      </c>
      <c r="C61" s="64">
        <v>9.4999999999999998E-3</v>
      </c>
      <c r="D61" s="64">
        <v>0.16</v>
      </c>
      <c r="E61" s="64">
        <f>C61/D61</f>
        <v>5.9374999999999997E-2</v>
      </c>
      <c r="F61" s="64">
        <v>1120</v>
      </c>
      <c r="G61" s="64">
        <v>1460</v>
      </c>
      <c r="H61" s="64">
        <v>0.75</v>
      </c>
      <c r="I61" s="64">
        <v>0.5</v>
      </c>
      <c r="J61" s="65" t="s">
        <v>113</v>
      </c>
    </row>
    <row r="62" spans="1:10" ht="22.25" customHeight="1">
      <c r="A62" s="63" t="s">
        <v>114</v>
      </c>
      <c r="B62" s="64" t="s">
        <v>109</v>
      </c>
      <c r="C62" s="64" t="s">
        <v>93</v>
      </c>
      <c r="D62" s="64" t="s">
        <v>93</v>
      </c>
      <c r="E62" s="64">
        <v>1.05171844326658</v>
      </c>
      <c r="F62" s="64" t="s">
        <v>93</v>
      </c>
      <c r="G62" s="64" t="s">
        <v>93</v>
      </c>
      <c r="H62" s="64">
        <v>0.9</v>
      </c>
      <c r="I62" s="64">
        <v>0.3</v>
      </c>
      <c r="J62" s="65">
        <v>0.3</v>
      </c>
    </row>
    <row r="63" spans="1:10" ht="22.25" customHeight="1" thickBot="1">
      <c r="A63" s="66" t="s">
        <v>115</v>
      </c>
      <c r="B63" s="67" t="s">
        <v>110</v>
      </c>
      <c r="C63" s="67">
        <v>8.0000000000000004E-4</v>
      </c>
      <c r="D63" s="67">
        <v>45.28</v>
      </c>
      <c r="E63" s="64">
        <f>C63/D63</f>
        <v>1.7667844522968198E-5</v>
      </c>
      <c r="F63" s="67">
        <v>7824</v>
      </c>
      <c r="G63" s="67">
        <v>500</v>
      </c>
      <c r="H63" s="67">
        <v>0.75</v>
      </c>
      <c r="I63" s="67">
        <v>0.55000000000000004</v>
      </c>
      <c r="J63" s="68" t="s">
        <v>93</v>
      </c>
    </row>
    <row r="64" spans="1:10" ht="22.25" customHeight="1" thickBot="1">
      <c r="A64" s="123" t="s">
        <v>125</v>
      </c>
      <c r="B64" s="124"/>
      <c r="C64" s="124"/>
      <c r="D64" s="124"/>
      <c r="E64" s="124"/>
      <c r="F64" s="124"/>
      <c r="G64" s="124"/>
      <c r="H64" s="124"/>
      <c r="I64" s="124"/>
      <c r="J64" s="125"/>
    </row>
    <row r="65" spans="1:10" ht="22.25" customHeight="1">
      <c r="A65" s="63" t="s">
        <v>116</v>
      </c>
      <c r="B65" s="64" t="s">
        <v>109</v>
      </c>
      <c r="C65" s="64" t="s">
        <v>93</v>
      </c>
      <c r="D65" s="64" t="s">
        <v>93</v>
      </c>
      <c r="E65" s="64">
        <v>2.9938733024518199E-2</v>
      </c>
      <c r="F65" s="64" t="s">
        <v>93</v>
      </c>
      <c r="G65" s="64" t="s">
        <v>93</v>
      </c>
      <c r="H65" s="64">
        <v>0.9</v>
      </c>
      <c r="I65" s="64">
        <v>0.3</v>
      </c>
      <c r="J65" s="65">
        <v>0.3</v>
      </c>
    </row>
    <row r="66" spans="1:10" ht="22.25" customHeight="1">
      <c r="A66" s="63" t="s">
        <v>64</v>
      </c>
      <c r="B66" s="64" t="s">
        <v>107</v>
      </c>
      <c r="C66" s="64">
        <v>0.1016</v>
      </c>
      <c r="D66" s="64">
        <v>2.31</v>
      </c>
      <c r="E66" s="64">
        <f>C66/D66</f>
        <v>4.3982683982683977E-2</v>
      </c>
      <c r="F66" s="64">
        <v>2322</v>
      </c>
      <c r="G66" s="64">
        <v>832</v>
      </c>
      <c r="H66" s="64" t="s">
        <v>113</v>
      </c>
      <c r="I66" s="64" t="s">
        <v>113</v>
      </c>
      <c r="J66" s="65" t="s">
        <v>113</v>
      </c>
    </row>
    <row r="67" spans="1:10" ht="22.25" customHeight="1" thickBot="1">
      <c r="A67" s="66" t="s">
        <v>65</v>
      </c>
      <c r="B67" s="67" t="s">
        <v>117</v>
      </c>
      <c r="C67" s="67" t="s">
        <v>93</v>
      </c>
      <c r="D67" s="67" t="s">
        <v>93</v>
      </c>
      <c r="E67" s="64">
        <v>0.21648000000000001</v>
      </c>
      <c r="F67" s="67" t="s">
        <v>93</v>
      </c>
      <c r="G67" s="67" t="s">
        <v>93</v>
      </c>
      <c r="H67" s="67">
        <v>0.9</v>
      </c>
      <c r="I67" s="67">
        <v>0.3</v>
      </c>
      <c r="J67" s="68">
        <v>0.2</v>
      </c>
    </row>
    <row r="68" spans="1:10" ht="22.25" customHeight="1" thickBot="1">
      <c r="A68" s="123" t="s">
        <v>126</v>
      </c>
      <c r="B68" s="124"/>
      <c r="C68" s="124"/>
      <c r="D68" s="124"/>
      <c r="E68" s="124"/>
      <c r="F68" s="124"/>
      <c r="G68" s="124"/>
      <c r="H68" s="124"/>
      <c r="I68" s="124"/>
      <c r="J68" s="125"/>
    </row>
    <row r="69" spans="1:10" ht="22.25" customHeight="1">
      <c r="A69" s="63" t="s">
        <v>118</v>
      </c>
      <c r="B69" s="64" t="s">
        <v>68</v>
      </c>
      <c r="C69" s="64" t="s">
        <v>93</v>
      </c>
      <c r="D69" s="64" t="s">
        <v>93</v>
      </c>
      <c r="E69" s="64">
        <v>0.21648000000000001</v>
      </c>
      <c r="F69" s="64" t="s">
        <v>93</v>
      </c>
      <c r="G69" s="64" t="s">
        <v>93</v>
      </c>
      <c r="H69" s="64">
        <v>0.9</v>
      </c>
      <c r="I69" s="64">
        <v>0.3</v>
      </c>
      <c r="J69" s="65">
        <v>0.2</v>
      </c>
    </row>
    <row r="70" spans="1:10" ht="22.25" customHeight="1">
      <c r="A70" s="63" t="s">
        <v>119</v>
      </c>
      <c r="B70" s="64" t="s">
        <v>107</v>
      </c>
      <c r="C70" s="64">
        <v>0.1016</v>
      </c>
      <c r="D70" s="64">
        <v>2.31</v>
      </c>
      <c r="E70" s="64">
        <f>C70/D70</f>
        <v>4.3982683982683977E-2</v>
      </c>
      <c r="F70" s="64">
        <v>2322</v>
      </c>
      <c r="G70" s="64">
        <v>832</v>
      </c>
      <c r="H70" s="64" t="s">
        <v>113</v>
      </c>
      <c r="I70" s="64" t="s">
        <v>113</v>
      </c>
      <c r="J70" s="65" t="s">
        <v>113</v>
      </c>
    </row>
    <row r="71" spans="1:10" ht="22.25" customHeight="1" thickBot="1">
      <c r="A71" s="66" t="s">
        <v>120</v>
      </c>
      <c r="B71" s="67" t="s">
        <v>109</v>
      </c>
      <c r="C71" s="67" t="s">
        <v>93</v>
      </c>
      <c r="D71" s="67" t="s">
        <v>93</v>
      </c>
      <c r="E71" s="64">
        <v>2.9938733024518199E-2</v>
      </c>
      <c r="F71" s="67" t="s">
        <v>93</v>
      </c>
      <c r="G71" s="67" t="s">
        <v>93</v>
      </c>
      <c r="H71" s="67">
        <v>0.9</v>
      </c>
      <c r="I71" s="67">
        <v>0.3</v>
      </c>
      <c r="J71" s="68">
        <v>0.3</v>
      </c>
    </row>
    <row r="72" spans="1:10" ht="22.25" customHeight="1" thickBot="1">
      <c r="A72" s="123" t="s">
        <v>127</v>
      </c>
      <c r="B72" s="124"/>
      <c r="C72" s="124"/>
      <c r="D72" s="124"/>
      <c r="E72" s="124"/>
      <c r="F72" s="124"/>
      <c r="G72" s="124"/>
      <c r="H72" s="124"/>
      <c r="I72" s="124"/>
      <c r="J72" s="125"/>
    </row>
    <row r="73" spans="1:10" ht="22.25" customHeight="1">
      <c r="A73" s="69" t="s">
        <v>121</v>
      </c>
      <c r="B73" s="64" t="s">
        <v>71</v>
      </c>
      <c r="C73" s="64">
        <v>1.2699999999999999E-2</v>
      </c>
      <c r="D73" s="64">
        <v>0.16</v>
      </c>
      <c r="E73" s="64">
        <f>C73/D73</f>
        <v>7.9375000000000001E-2</v>
      </c>
      <c r="F73" s="64">
        <v>800</v>
      </c>
      <c r="G73" s="64">
        <v>1090</v>
      </c>
      <c r="H73" s="64">
        <v>0.9</v>
      </c>
      <c r="I73" s="64">
        <v>0.3</v>
      </c>
      <c r="J73" s="65">
        <v>0.5</v>
      </c>
    </row>
    <row r="74" spans="1:10" ht="22.25" customHeight="1" thickBot="1">
      <c r="A74" s="70" t="s">
        <v>121</v>
      </c>
      <c r="B74" s="67" t="s">
        <v>71</v>
      </c>
      <c r="C74" s="67">
        <v>1.2699999999999999E-2</v>
      </c>
      <c r="D74" s="67">
        <v>0.16</v>
      </c>
      <c r="E74" s="67">
        <f>C74/D74</f>
        <v>7.9375000000000001E-2</v>
      </c>
      <c r="F74" s="67">
        <v>800</v>
      </c>
      <c r="G74" s="67">
        <v>1090</v>
      </c>
      <c r="H74" s="67">
        <v>0.9</v>
      </c>
      <c r="I74" s="67">
        <v>0.3</v>
      </c>
      <c r="J74" s="68">
        <v>0.5</v>
      </c>
    </row>
    <row r="76" spans="1:10" ht="22.25" customHeight="1" thickBot="1"/>
    <row r="77" spans="1:10" ht="22.25" customHeight="1" thickBot="1">
      <c r="A77" s="126" t="s">
        <v>41</v>
      </c>
      <c r="B77" s="127"/>
      <c r="C77" s="127"/>
      <c r="D77" s="127"/>
      <c r="E77" s="127"/>
      <c r="F77" s="127"/>
      <c r="G77" s="127"/>
      <c r="H77" s="127"/>
      <c r="I77" s="127"/>
      <c r="J77" s="128"/>
    </row>
    <row r="78" spans="1:10" ht="22.25" customHeight="1" thickBot="1">
      <c r="A78" s="60" t="s">
        <v>47</v>
      </c>
      <c r="B78" s="61" t="s">
        <v>48</v>
      </c>
      <c r="C78" s="61" t="s">
        <v>49</v>
      </c>
      <c r="D78" s="61" t="s">
        <v>50</v>
      </c>
      <c r="E78" s="61" t="s">
        <v>72</v>
      </c>
      <c r="F78" s="61" t="s">
        <v>122</v>
      </c>
      <c r="G78" s="61" t="s">
        <v>51</v>
      </c>
      <c r="H78" s="61" t="s">
        <v>75</v>
      </c>
      <c r="I78" s="61" t="s">
        <v>74</v>
      </c>
      <c r="J78" s="62" t="s">
        <v>73</v>
      </c>
    </row>
    <row r="79" spans="1:10" ht="22.25" customHeight="1" thickBot="1">
      <c r="A79" s="123" t="s">
        <v>132</v>
      </c>
      <c r="B79" s="124"/>
      <c r="C79" s="124"/>
      <c r="D79" s="124"/>
      <c r="E79" s="124"/>
      <c r="F79" s="124"/>
      <c r="G79" s="124"/>
      <c r="H79" s="124"/>
      <c r="I79" s="124"/>
      <c r="J79" s="125"/>
    </row>
    <row r="80" spans="1:10" ht="22.25" customHeight="1">
      <c r="A80" s="63" t="s">
        <v>130</v>
      </c>
      <c r="B80" s="64" t="s">
        <v>71</v>
      </c>
      <c r="C80" s="64">
        <v>2.5399999999999999E-2</v>
      </c>
      <c r="D80" s="64">
        <v>0.72</v>
      </c>
      <c r="E80" s="64">
        <f>C80/D80</f>
        <v>3.5277777777777776E-2</v>
      </c>
      <c r="F80" s="64">
        <v>1856</v>
      </c>
      <c r="G80" s="64">
        <v>840</v>
      </c>
      <c r="H80" s="64">
        <v>0.9</v>
      </c>
      <c r="I80" s="64">
        <v>0.2</v>
      </c>
      <c r="J80" s="65">
        <v>0.3</v>
      </c>
    </row>
    <row r="81" spans="1:10" ht="22.25" customHeight="1">
      <c r="A81" s="63" t="s">
        <v>131</v>
      </c>
      <c r="B81" s="64" t="s">
        <v>109</v>
      </c>
      <c r="C81" s="64">
        <v>1.5900000000000001E-2</v>
      </c>
      <c r="D81" s="64">
        <v>0.16</v>
      </c>
      <c r="E81" s="64">
        <f>C81/D81</f>
        <v>9.9375000000000005E-2</v>
      </c>
      <c r="F81" s="64">
        <v>800</v>
      </c>
      <c r="G81" s="64">
        <v>1090</v>
      </c>
      <c r="H81" s="64" t="s">
        <v>93</v>
      </c>
      <c r="I81" s="64" t="s">
        <v>93</v>
      </c>
      <c r="J81" s="65" t="s">
        <v>93</v>
      </c>
    </row>
    <row r="82" spans="1:10" ht="22.25" customHeight="1">
      <c r="A82" s="63" t="s">
        <v>108</v>
      </c>
      <c r="B82" s="64" t="s">
        <v>109</v>
      </c>
      <c r="C82" s="64" t="s">
        <v>93</v>
      </c>
      <c r="D82" s="64" t="s">
        <v>93</v>
      </c>
      <c r="E82" s="64">
        <v>0.43263889</v>
      </c>
      <c r="F82" s="64" t="s">
        <v>93</v>
      </c>
      <c r="G82" s="64" t="s">
        <v>93</v>
      </c>
      <c r="H82" s="64">
        <v>0.9</v>
      </c>
      <c r="I82" s="64">
        <v>0.3</v>
      </c>
      <c r="J82" s="65">
        <v>0.3</v>
      </c>
    </row>
    <row r="83" spans="1:10" ht="22.25" customHeight="1" thickBot="1">
      <c r="A83" s="66" t="s">
        <v>131</v>
      </c>
      <c r="B83" s="67" t="s">
        <v>109</v>
      </c>
      <c r="C83" s="67">
        <v>1.5900000000000001E-2</v>
      </c>
      <c r="D83" s="67">
        <v>0.16</v>
      </c>
      <c r="E83" s="64">
        <f>C83/D83</f>
        <v>9.9375000000000005E-2</v>
      </c>
      <c r="F83" s="67">
        <v>800</v>
      </c>
      <c r="G83" s="67">
        <v>1090</v>
      </c>
      <c r="H83" s="67" t="s">
        <v>93</v>
      </c>
      <c r="I83" s="67" t="s">
        <v>93</v>
      </c>
      <c r="J83" s="68" t="s">
        <v>93</v>
      </c>
    </row>
    <row r="84" spans="1:10" ht="22.25" customHeight="1" thickBot="1">
      <c r="A84" s="123" t="s">
        <v>124</v>
      </c>
      <c r="B84" s="124"/>
      <c r="C84" s="124"/>
      <c r="D84" s="124"/>
      <c r="E84" s="124"/>
      <c r="F84" s="124"/>
      <c r="G84" s="124"/>
      <c r="H84" s="124"/>
      <c r="I84" s="124"/>
      <c r="J84" s="125"/>
    </row>
    <row r="85" spans="1:10" ht="22.25" customHeight="1">
      <c r="A85" s="69" t="s">
        <v>111</v>
      </c>
      <c r="B85" s="64" t="s">
        <v>112</v>
      </c>
      <c r="C85" s="64">
        <v>9.4999999999999998E-3</v>
      </c>
      <c r="D85" s="64">
        <v>0.16</v>
      </c>
      <c r="E85" s="64">
        <f>C85/D85</f>
        <v>5.9374999999999997E-2</v>
      </c>
      <c r="F85" s="64">
        <v>1120</v>
      </c>
      <c r="G85" s="64">
        <v>1460</v>
      </c>
      <c r="H85" s="64">
        <v>0.75</v>
      </c>
      <c r="I85" s="64">
        <v>0.5</v>
      </c>
      <c r="J85" s="65" t="s">
        <v>113</v>
      </c>
    </row>
    <row r="86" spans="1:10" ht="22.25" customHeight="1">
      <c r="A86" s="63" t="s">
        <v>114</v>
      </c>
      <c r="B86" s="64" t="s">
        <v>109</v>
      </c>
      <c r="C86" s="64" t="s">
        <v>93</v>
      </c>
      <c r="D86" s="64" t="s">
        <v>93</v>
      </c>
      <c r="E86" s="64">
        <v>1.0517184399999999</v>
      </c>
      <c r="F86" s="64" t="s">
        <v>93</v>
      </c>
      <c r="G86" s="64" t="s">
        <v>93</v>
      </c>
      <c r="H86" s="64">
        <v>0.9</v>
      </c>
      <c r="I86" s="64">
        <v>0.3</v>
      </c>
      <c r="J86" s="65">
        <v>0.3</v>
      </c>
    </row>
    <row r="87" spans="1:10" ht="22.25" customHeight="1" thickBot="1">
      <c r="A87" s="66" t="s">
        <v>115</v>
      </c>
      <c r="B87" s="67" t="s">
        <v>110</v>
      </c>
      <c r="C87" s="67">
        <v>8.0000000000000004E-4</v>
      </c>
      <c r="D87" s="67">
        <v>45.28</v>
      </c>
      <c r="E87" s="64">
        <f>C87/D87</f>
        <v>1.7667844522968198E-5</v>
      </c>
      <c r="F87" s="67">
        <v>7824</v>
      </c>
      <c r="G87" s="67">
        <v>500</v>
      </c>
      <c r="H87" s="67">
        <v>0.75</v>
      </c>
      <c r="I87" s="67">
        <v>0.55000000000000004</v>
      </c>
      <c r="J87" s="68" t="s">
        <v>93</v>
      </c>
    </row>
    <row r="88" spans="1:10" ht="22.25" customHeight="1" thickBot="1">
      <c r="A88" s="123" t="s">
        <v>125</v>
      </c>
      <c r="B88" s="124"/>
      <c r="C88" s="124"/>
      <c r="D88" s="124"/>
      <c r="E88" s="124"/>
      <c r="F88" s="124"/>
      <c r="G88" s="124"/>
      <c r="H88" s="124"/>
      <c r="I88" s="124"/>
      <c r="J88" s="125"/>
    </row>
    <row r="89" spans="1:10" ht="22.25" customHeight="1">
      <c r="A89" s="63" t="s">
        <v>116</v>
      </c>
      <c r="B89" s="64" t="s">
        <v>109</v>
      </c>
      <c r="C89" s="64" t="s">
        <v>93</v>
      </c>
      <c r="D89" s="64" t="s">
        <v>93</v>
      </c>
      <c r="E89" s="64">
        <v>2.9938733024518199E-2</v>
      </c>
      <c r="F89" s="64" t="s">
        <v>93</v>
      </c>
      <c r="G89" s="64" t="s">
        <v>93</v>
      </c>
      <c r="H89" s="64">
        <v>0.9</v>
      </c>
      <c r="I89" s="64">
        <v>0.3</v>
      </c>
      <c r="J89" s="65">
        <v>0.3</v>
      </c>
    </row>
    <row r="90" spans="1:10" ht="22.25" customHeight="1">
      <c r="A90" s="63" t="s">
        <v>64</v>
      </c>
      <c r="B90" s="64" t="s">
        <v>107</v>
      </c>
      <c r="C90" s="64">
        <v>0.1016</v>
      </c>
      <c r="D90" s="64">
        <v>2.31</v>
      </c>
      <c r="E90" s="64">
        <f>C90/D90</f>
        <v>4.3982683982683977E-2</v>
      </c>
      <c r="F90" s="64">
        <v>2322</v>
      </c>
      <c r="G90" s="64">
        <v>832</v>
      </c>
      <c r="H90" s="64" t="s">
        <v>113</v>
      </c>
      <c r="I90" s="64" t="s">
        <v>113</v>
      </c>
      <c r="J90" s="65" t="s">
        <v>113</v>
      </c>
    </row>
    <row r="91" spans="1:10" ht="22.25" customHeight="1" thickBot="1">
      <c r="A91" s="66" t="s">
        <v>65</v>
      </c>
      <c r="B91" s="67" t="s">
        <v>117</v>
      </c>
      <c r="C91" s="67" t="s">
        <v>93</v>
      </c>
      <c r="D91" s="67" t="s">
        <v>93</v>
      </c>
      <c r="E91" s="64">
        <v>0.21648000000000001</v>
      </c>
      <c r="F91" s="67" t="s">
        <v>93</v>
      </c>
      <c r="G91" s="67" t="s">
        <v>93</v>
      </c>
      <c r="H91" s="67">
        <v>0.9</v>
      </c>
      <c r="I91" s="67">
        <v>0.3</v>
      </c>
      <c r="J91" s="68">
        <v>0.2</v>
      </c>
    </row>
    <row r="92" spans="1:10" ht="22.25" customHeight="1" thickBot="1">
      <c r="A92" s="123" t="s">
        <v>126</v>
      </c>
      <c r="B92" s="124"/>
      <c r="C92" s="124"/>
      <c r="D92" s="124"/>
      <c r="E92" s="124"/>
      <c r="F92" s="124"/>
      <c r="G92" s="124"/>
      <c r="H92" s="124"/>
      <c r="I92" s="124"/>
      <c r="J92" s="125"/>
    </row>
    <row r="93" spans="1:10" ht="22.25" customHeight="1">
      <c r="A93" s="63" t="s">
        <v>118</v>
      </c>
      <c r="B93" s="64" t="s">
        <v>68</v>
      </c>
      <c r="C93" s="64" t="s">
        <v>93</v>
      </c>
      <c r="D93" s="64" t="s">
        <v>93</v>
      </c>
      <c r="E93" s="64">
        <v>0.21648000000000001</v>
      </c>
      <c r="F93" s="64" t="s">
        <v>93</v>
      </c>
      <c r="G93" s="64" t="s">
        <v>93</v>
      </c>
      <c r="H93" s="64">
        <v>0.9</v>
      </c>
      <c r="I93" s="64">
        <v>0.3</v>
      </c>
      <c r="J93" s="65">
        <v>0.2</v>
      </c>
    </row>
    <row r="94" spans="1:10" ht="22.25" customHeight="1">
      <c r="A94" s="63" t="s">
        <v>119</v>
      </c>
      <c r="B94" s="64" t="s">
        <v>107</v>
      </c>
      <c r="C94" s="64">
        <v>0.1016</v>
      </c>
      <c r="D94" s="64">
        <v>2.31</v>
      </c>
      <c r="E94" s="64">
        <f>C94/D94</f>
        <v>4.3982683982683977E-2</v>
      </c>
      <c r="F94" s="64">
        <v>2322</v>
      </c>
      <c r="G94" s="64">
        <v>832</v>
      </c>
      <c r="H94" s="64" t="s">
        <v>113</v>
      </c>
      <c r="I94" s="64" t="s">
        <v>113</v>
      </c>
      <c r="J94" s="65" t="s">
        <v>113</v>
      </c>
    </row>
    <row r="95" spans="1:10" ht="22.25" customHeight="1" thickBot="1">
      <c r="A95" s="66" t="s">
        <v>116</v>
      </c>
      <c r="B95" s="67" t="s">
        <v>109</v>
      </c>
      <c r="C95" s="67" t="s">
        <v>93</v>
      </c>
      <c r="D95" s="67" t="s">
        <v>93</v>
      </c>
      <c r="E95" s="64">
        <v>2.9938733024518199E-2</v>
      </c>
      <c r="F95" s="67" t="s">
        <v>93</v>
      </c>
      <c r="G95" s="67" t="s">
        <v>93</v>
      </c>
      <c r="H95" s="67">
        <v>0.9</v>
      </c>
      <c r="I95" s="67">
        <v>0.3</v>
      </c>
      <c r="J95" s="68">
        <v>0.3</v>
      </c>
    </row>
    <row r="96" spans="1:10" ht="22.25" customHeight="1" thickBot="1">
      <c r="A96" s="123" t="s">
        <v>127</v>
      </c>
      <c r="B96" s="124"/>
      <c r="C96" s="124"/>
      <c r="D96" s="124"/>
      <c r="E96" s="124"/>
      <c r="F96" s="124"/>
      <c r="G96" s="124"/>
      <c r="H96" s="124"/>
      <c r="I96" s="124"/>
      <c r="J96" s="125"/>
    </row>
    <row r="97" spans="1:10" ht="22.25" customHeight="1">
      <c r="A97" s="69" t="s">
        <v>121</v>
      </c>
      <c r="B97" s="64" t="s">
        <v>71</v>
      </c>
      <c r="C97" s="64">
        <v>1.2699999999999999E-2</v>
      </c>
      <c r="D97" s="64">
        <v>0.16</v>
      </c>
      <c r="E97" s="64">
        <f>C97/D97</f>
        <v>7.9375000000000001E-2</v>
      </c>
      <c r="F97" s="64">
        <v>800</v>
      </c>
      <c r="G97" s="64">
        <v>1090</v>
      </c>
      <c r="H97" s="64">
        <v>0.9</v>
      </c>
      <c r="I97" s="64">
        <v>0.3</v>
      </c>
      <c r="J97" s="65">
        <v>0.5</v>
      </c>
    </row>
    <row r="98" spans="1:10" ht="22.25" customHeight="1" thickBot="1">
      <c r="A98" s="70" t="s">
        <v>121</v>
      </c>
      <c r="B98" s="67" t="s">
        <v>71</v>
      </c>
      <c r="C98" s="67">
        <v>1.2699999999999999E-2</v>
      </c>
      <c r="D98" s="67">
        <v>0.16</v>
      </c>
      <c r="E98" s="67">
        <f>C98/D98</f>
        <v>7.9375000000000001E-2</v>
      </c>
      <c r="F98" s="67">
        <v>800</v>
      </c>
      <c r="G98" s="67">
        <v>1090</v>
      </c>
      <c r="H98" s="67">
        <v>0.9</v>
      </c>
      <c r="I98" s="67">
        <v>0.3</v>
      </c>
      <c r="J98" s="68">
        <v>0.5</v>
      </c>
    </row>
    <row r="100" spans="1:10" ht="22.25" customHeight="1" thickBot="1"/>
    <row r="101" spans="1:10" ht="22.25" customHeight="1" thickBot="1">
      <c r="A101" s="126" t="s">
        <v>42</v>
      </c>
      <c r="B101" s="127"/>
      <c r="C101" s="127"/>
      <c r="D101" s="127"/>
      <c r="E101" s="127"/>
      <c r="F101" s="127"/>
      <c r="G101" s="127"/>
      <c r="H101" s="127"/>
      <c r="I101" s="127"/>
      <c r="J101" s="128"/>
    </row>
    <row r="102" spans="1:10" ht="22.25" customHeight="1" thickBot="1">
      <c r="A102" s="60" t="s">
        <v>47</v>
      </c>
      <c r="B102" s="61" t="s">
        <v>48</v>
      </c>
      <c r="C102" s="61" t="s">
        <v>49</v>
      </c>
      <c r="D102" s="61" t="s">
        <v>50</v>
      </c>
      <c r="E102" s="61" t="s">
        <v>72</v>
      </c>
      <c r="F102" s="61" t="s">
        <v>122</v>
      </c>
      <c r="G102" s="61" t="s">
        <v>51</v>
      </c>
      <c r="H102" s="61" t="s">
        <v>75</v>
      </c>
      <c r="I102" s="61" t="s">
        <v>74</v>
      </c>
      <c r="J102" s="62" t="s">
        <v>73</v>
      </c>
    </row>
    <row r="103" spans="1:10" ht="22.25" customHeight="1" thickBot="1">
      <c r="A103" s="123" t="s">
        <v>123</v>
      </c>
      <c r="B103" s="124"/>
      <c r="C103" s="124"/>
      <c r="D103" s="124"/>
      <c r="E103" s="124"/>
      <c r="F103" s="124"/>
      <c r="G103" s="124"/>
      <c r="H103" s="124"/>
      <c r="I103" s="124"/>
      <c r="J103" s="125"/>
    </row>
    <row r="104" spans="1:10" ht="22.25" customHeight="1">
      <c r="A104" s="63" t="s">
        <v>106</v>
      </c>
      <c r="B104" s="64" t="s">
        <v>107</v>
      </c>
      <c r="C104" s="64">
        <v>0.20319999999999999</v>
      </c>
      <c r="D104" s="64">
        <v>0.36458047986245201</v>
      </c>
      <c r="E104" s="64">
        <f>C104/D104</f>
        <v>0.55735293364214877</v>
      </c>
      <c r="F104" s="64">
        <v>2322</v>
      </c>
      <c r="G104" s="64">
        <v>832</v>
      </c>
      <c r="H104" s="64">
        <v>0.9</v>
      </c>
      <c r="I104" s="64">
        <v>0.2</v>
      </c>
      <c r="J104" s="65" t="s">
        <v>93</v>
      </c>
    </row>
    <row r="105" spans="1:10" ht="22.25" customHeight="1">
      <c r="A105" s="63" t="s">
        <v>108</v>
      </c>
      <c r="B105" s="64" t="s">
        <v>109</v>
      </c>
      <c r="C105" s="64" t="s">
        <v>93</v>
      </c>
      <c r="D105" s="64" t="s">
        <v>93</v>
      </c>
      <c r="E105" s="64">
        <v>2.9938733024518199E-2</v>
      </c>
      <c r="F105" s="64" t="s">
        <v>93</v>
      </c>
      <c r="G105" s="64" t="s">
        <v>93</v>
      </c>
      <c r="H105" s="64">
        <v>0.9</v>
      </c>
      <c r="I105" s="64">
        <v>0.3</v>
      </c>
      <c r="J105" s="65">
        <v>0.3</v>
      </c>
    </row>
    <row r="106" spans="1:10" ht="22.25" customHeight="1" thickBot="1">
      <c r="A106" s="66" t="s">
        <v>56</v>
      </c>
      <c r="B106" s="67" t="s">
        <v>110</v>
      </c>
      <c r="C106" s="67">
        <v>1.2699999999999999E-2</v>
      </c>
      <c r="D106" s="67">
        <v>0.16</v>
      </c>
      <c r="E106" s="64">
        <f>C106/D106</f>
        <v>7.9375000000000001E-2</v>
      </c>
      <c r="F106" s="67">
        <v>800</v>
      </c>
      <c r="G106" s="67">
        <v>1090</v>
      </c>
      <c r="H106" s="67">
        <v>0.9</v>
      </c>
      <c r="I106" s="67">
        <v>0.3</v>
      </c>
      <c r="J106" s="68">
        <v>0.5</v>
      </c>
    </row>
    <row r="107" spans="1:10" ht="22.25" customHeight="1" thickBot="1">
      <c r="A107" s="123" t="s">
        <v>124</v>
      </c>
      <c r="B107" s="124"/>
      <c r="C107" s="124"/>
      <c r="D107" s="124"/>
      <c r="E107" s="124"/>
      <c r="F107" s="124"/>
      <c r="G107" s="124"/>
      <c r="H107" s="124"/>
      <c r="I107" s="124"/>
      <c r="J107" s="125"/>
    </row>
    <row r="108" spans="1:10" ht="22.25" customHeight="1">
      <c r="A108" s="69" t="s">
        <v>111</v>
      </c>
      <c r="B108" s="64" t="s">
        <v>112</v>
      </c>
      <c r="C108" s="64">
        <v>9.4999999999999998E-3</v>
      </c>
      <c r="D108" s="64">
        <v>0.16</v>
      </c>
      <c r="E108" s="64">
        <f>C108/D108</f>
        <v>5.9374999999999997E-2</v>
      </c>
      <c r="F108" s="64">
        <v>1120</v>
      </c>
      <c r="G108" s="64">
        <v>1460</v>
      </c>
      <c r="H108" s="64">
        <v>0.75</v>
      </c>
      <c r="I108" s="64">
        <v>0.5</v>
      </c>
      <c r="J108" s="65" t="s">
        <v>113</v>
      </c>
    </row>
    <row r="109" spans="1:10" ht="22.25" customHeight="1">
      <c r="A109" s="63" t="s">
        <v>114</v>
      </c>
      <c r="B109" s="64" t="s">
        <v>109</v>
      </c>
      <c r="C109" s="64" t="s">
        <v>93</v>
      </c>
      <c r="D109" s="64" t="s">
        <v>93</v>
      </c>
      <c r="E109" s="64">
        <v>1.05171844326658</v>
      </c>
      <c r="F109" s="64" t="s">
        <v>93</v>
      </c>
      <c r="G109" s="64" t="s">
        <v>93</v>
      </c>
      <c r="H109" s="64">
        <v>0.9</v>
      </c>
      <c r="I109" s="64">
        <v>0.3</v>
      </c>
      <c r="J109" s="65">
        <v>0.3</v>
      </c>
    </row>
    <row r="110" spans="1:10" ht="22.25" customHeight="1" thickBot="1">
      <c r="A110" s="66" t="s">
        <v>115</v>
      </c>
      <c r="B110" s="67" t="s">
        <v>110</v>
      </c>
      <c r="C110" s="67">
        <v>8.0000000000000004E-4</v>
      </c>
      <c r="D110" s="67">
        <v>45.28</v>
      </c>
      <c r="E110" s="64">
        <f>C110/D110</f>
        <v>1.7667844522968198E-5</v>
      </c>
      <c r="F110" s="67">
        <v>7824</v>
      </c>
      <c r="G110" s="67">
        <v>500</v>
      </c>
      <c r="H110" s="67">
        <v>0.75</v>
      </c>
      <c r="I110" s="67">
        <v>0.55000000000000004</v>
      </c>
      <c r="J110" s="68" t="s">
        <v>93</v>
      </c>
    </row>
    <row r="111" spans="1:10" ht="22.25" customHeight="1" thickBot="1">
      <c r="A111" s="123" t="s">
        <v>125</v>
      </c>
      <c r="B111" s="124"/>
      <c r="C111" s="124"/>
      <c r="D111" s="124"/>
      <c r="E111" s="124"/>
      <c r="F111" s="124"/>
      <c r="G111" s="124"/>
      <c r="H111" s="124"/>
      <c r="I111" s="124"/>
      <c r="J111" s="125"/>
    </row>
    <row r="112" spans="1:10" ht="22.25" customHeight="1">
      <c r="A112" s="63" t="s">
        <v>120</v>
      </c>
      <c r="B112" s="64" t="s">
        <v>109</v>
      </c>
      <c r="C112" s="64" t="s">
        <v>93</v>
      </c>
      <c r="D112" s="64" t="s">
        <v>93</v>
      </c>
      <c r="E112" s="64">
        <v>2.9938733024518199E-2</v>
      </c>
      <c r="F112" s="64" t="s">
        <v>93</v>
      </c>
      <c r="G112" s="64" t="s">
        <v>93</v>
      </c>
      <c r="H112" s="64">
        <v>0.9</v>
      </c>
      <c r="I112" s="64">
        <v>0.3</v>
      </c>
      <c r="J112" s="65">
        <v>0.3</v>
      </c>
    </row>
    <row r="113" spans="1:10" ht="22.25" customHeight="1">
      <c r="A113" s="63" t="s">
        <v>64</v>
      </c>
      <c r="B113" s="64" t="s">
        <v>107</v>
      </c>
      <c r="C113" s="64">
        <v>0.1016</v>
      </c>
      <c r="D113" s="64">
        <v>2.31</v>
      </c>
      <c r="E113" s="64">
        <f>C113/D113</f>
        <v>4.3982683982683977E-2</v>
      </c>
      <c r="F113" s="64">
        <v>2322</v>
      </c>
      <c r="G113" s="64">
        <v>832</v>
      </c>
      <c r="H113" s="64" t="s">
        <v>113</v>
      </c>
      <c r="I113" s="64" t="s">
        <v>113</v>
      </c>
      <c r="J113" s="65" t="s">
        <v>113</v>
      </c>
    </row>
    <row r="114" spans="1:10" ht="22.25" customHeight="1" thickBot="1">
      <c r="A114" s="66" t="s">
        <v>65</v>
      </c>
      <c r="B114" s="67" t="s">
        <v>117</v>
      </c>
      <c r="C114" s="67" t="s">
        <v>93</v>
      </c>
      <c r="D114" s="67" t="s">
        <v>93</v>
      </c>
      <c r="E114" s="64">
        <v>0.21648000000000001</v>
      </c>
      <c r="F114" s="67" t="s">
        <v>93</v>
      </c>
      <c r="G114" s="67" t="s">
        <v>93</v>
      </c>
      <c r="H114" s="67">
        <v>0.9</v>
      </c>
      <c r="I114" s="67">
        <v>0.3</v>
      </c>
      <c r="J114" s="68">
        <v>0.2</v>
      </c>
    </row>
    <row r="115" spans="1:10" ht="22.25" customHeight="1" thickBot="1">
      <c r="A115" s="123" t="s">
        <v>126</v>
      </c>
      <c r="B115" s="124"/>
      <c r="C115" s="124"/>
      <c r="D115" s="124"/>
      <c r="E115" s="124"/>
      <c r="F115" s="124"/>
      <c r="G115" s="124"/>
      <c r="H115" s="124"/>
      <c r="I115" s="124"/>
      <c r="J115" s="125"/>
    </row>
    <row r="116" spans="1:10" ht="22.25" customHeight="1">
      <c r="A116" s="63" t="s">
        <v>118</v>
      </c>
      <c r="B116" s="64" t="s">
        <v>68</v>
      </c>
      <c r="C116" s="64" t="s">
        <v>93</v>
      </c>
      <c r="D116" s="64" t="s">
        <v>93</v>
      </c>
      <c r="E116" s="64">
        <v>0.21648000000000001</v>
      </c>
      <c r="F116" s="64" t="s">
        <v>93</v>
      </c>
      <c r="G116" s="64" t="s">
        <v>93</v>
      </c>
      <c r="H116" s="64">
        <v>0.9</v>
      </c>
      <c r="I116" s="64">
        <v>0.3</v>
      </c>
      <c r="J116" s="65">
        <v>0.2</v>
      </c>
    </row>
    <row r="117" spans="1:10" ht="22.25" customHeight="1">
      <c r="A117" s="63" t="s">
        <v>119</v>
      </c>
      <c r="B117" s="64" t="s">
        <v>107</v>
      </c>
      <c r="C117" s="64">
        <v>0.1016</v>
      </c>
      <c r="D117" s="64">
        <v>2.31</v>
      </c>
      <c r="E117" s="64">
        <f>C117/D117</f>
        <v>4.3982683982683977E-2</v>
      </c>
      <c r="F117" s="64">
        <v>2322</v>
      </c>
      <c r="G117" s="64">
        <v>832</v>
      </c>
      <c r="H117" s="64" t="s">
        <v>113</v>
      </c>
      <c r="I117" s="64" t="s">
        <v>113</v>
      </c>
      <c r="J117" s="65" t="s">
        <v>113</v>
      </c>
    </row>
    <row r="118" spans="1:10" ht="22.25" customHeight="1" thickBot="1">
      <c r="A118" s="66" t="s">
        <v>116</v>
      </c>
      <c r="B118" s="67" t="s">
        <v>109</v>
      </c>
      <c r="C118" s="67" t="s">
        <v>93</v>
      </c>
      <c r="D118" s="67" t="s">
        <v>93</v>
      </c>
      <c r="E118" s="64">
        <v>2.9938733024518199E-2</v>
      </c>
      <c r="F118" s="67" t="s">
        <v>93</v>
      </c>
      <c r="G118" s="67" t="s">
        <v>93</v>
      </c>
      <c r="H118" s="67">
        <v>0.9</v>
      </c>
      <c r="I118" s="67">
        <v>0.3</v>
      </c>
      <c r="J118" s="68">
        <v>0.3</v>
      </c>
    </row>
    <row r="119" spans="1:10" ht="22.25" customHeight="1" thickBot="1">
      <c r="A119" s="123" t="s">
        <v>127</v>
      </c>
      <c r="B119" s="124"/>
      <c r="C119" s="124"/>
      <c r="D119" s="124"/>
      <c r="E119" s="124"/>
      <c r="F119" s="124"/>
      <c r="G119" s="124"/>
      <c r="H119" s="124"/>
      <c r="I119" s="124"/>
      <c r="J119" s="125"/>
    </row>
    <row r="120" spans="1:10" ht="22.25" customHeight="1">
      <c r="A120" s="69" t="s">
        <v>121</v>
      </c>
      <c r="B120" s="64" t="s">
        <v>71</v>
      </c>
      <c r="C120" s="64">
        <v>1.2699999999999999E-2</v>
      </c>
      <c r="D120" s="64">
        <v>0.16</v>
      </c>
      <c r="E120" s="64">
        <f>C120/D120</f>
        <v>7.9375000000000001E-2</v>
      </c>
      <c r="F120" s="64">
        <v>800</v>
      </c>
      <c r="G120" s="64">
        <v>1090</v>
      </c>
      <c r="H120" s="64">
        <v>0.9</v>
      </c>
      <c r="I120" s="64">
        <v>0.3</v>
      </c>
      <c r="J120" s="65">
        <v>0.5</v>
      </c>
    </row>
    <row r="121" spans="1:10" ht="22.25" customHeight="1" thickBot="1">
      <c r="A121" s="70" t="s">
        <v>121</v>
      </c>
      <c r="B121" s="67" t="s">
        <v>71</v>
      </c>
      <c r="C121" s="67">
        <v>1.2699999999999999E-2</v>
      </c>
      <c r="D121" s="67">
        <v>0.16</v>
      </c>
      <c r="E121" s="67">
        <f>C121/D121</f>
        <v>7.9375000000000001E-2</v>
      </c>
      <c r="F121" s="67">
        <v>800</v>
      </c>
      <c r="G121" s="67">
        <v>1090</v>
      </c>
      <c r="H121" s="67">
        <v>0.9</v>
      </c>
      <c r="I121" s="67">
        <v>0.3</v>
      </c>
      <c r="J121" s="68">
        <v>0.5</v>
      </c>
    </row>
    <row r="123" spans="1:10" ht="22.25" customHeight="1" thickBot="1"/>
    <row r="124" spans="1:10" ht="22.25" customHeight="1" thickBot="1">
      <c r="A124" s="126" t="s">
        <v>43</v>
      </c>
      <c r="B124" s="127"/>
      <c r="C124" s="127"/>
      <c r="D124" s="127"/>
      <c r="E124" s="127"/>
      <c r="F124" s="127"/>
      <c r="G124" s="127"/>
      <c r="H124" s="127"/>
      <c r="I124" s="127"/>
      <c r="J124" s="128"/>
    </row>
    <row r="125" spans="1:10" ht="22.25" customHeight="1" thickBot="1">
      <c r="A125" s="60" t="s">
        <v>47</v>
      </c>
      <c r="B125" s="61" t="s">
        <v>48</v>
      </c>
      <c r="C125" s="61" t="s">
        <v>49</v>
      </c>
      <c r="D125" s="61" t="s">
        <v>50</v>
      </c>
      <c r="E125" s="61" t="s">
        <v>72</v>
      </c>
      <c r="F125" s="61" t="s">
        <v>122</v>
      </c>
      <c r="G125" s="61" t="s">
        <v>51</v>
      </c>
      <c r="H125" s="61" t="s">
        <v>75</v>
      </c>
      <c r="I125" s="61" t="s">
        <v>74</v>
      </c>
      <c r="J125" s="62" t="s">
        <v>73</v>
      </c>
    </row>
    <row r="126" spans="1:10" ht="22.25" customHeight="1" thickBot="1">
      <c r="A126" s="123" t="s">
        <v>123</v>
      </c>
      <c r="B126" s="124"/>
      <c r="C126" s="124"/>
      <c r="D126" s="124"/>
      <c r="E126" s="124"/>
      <c r="F126" s="124"/>
      <c r="G126" s="124"/>
      <c r="H126" s="124"/>
      <c r="I126" s="124"/>
      <c r="J126" s="125"/>
    </row>
    <row r="127" spans="1:10" ht="22.25" customHeight="1">
      <c r="A127" s="63" t="s">
        <v>106</v>
      </c>
      <c r="B127" s="64" t="s">
        <v>107</v>
      </c>
      <c r="C127" s="64">
        <v>0.20319999999999999</v>
      </c>
      <c r="D127" s="64">
        <v>0.36458047986245201</v>
      </c>
      <c r="E127" s="64">
        <f>C127/D127</f>
        <v>0.55735293364214877</v>
      </c>
      <c r="F127" s="64">
        <v>2322</v>
      </c>
      <c r="G127" s="64">
        <v>832</v>
      </c>
      <c r="H127" s="64">
        <v>0.9</v>
      </c>
      <c r="I127" s="64">
        <v>0.2</v>
      </c>
      <c r="J127" s="65" t="s">
        <v>93</v>
      </c>
    </row>
    <row r="128" spans="1:10" ht="22.25" customHeight="1">
      <c r="A128" s="63" t="s">
        <v>108</v>
      </c>
      <c r="B128" s="64" t="s">
        <v>109</v>
      </c>
      <c r="C128" s="64" t="s">
        <v>93</v>
      </c>
      <c r="D128" s="64" t="s">
        <v>93</v>
      </c>
      <c r="E128" s="64">
        <v>2.9938733024518199E-2</v>
      </c>
      <c r="F128" s="64" t="s">
        <v>93</v>
      </c>
      <c r="G128" s="64" t="s">
        <v>93</v>
      </c>
      <c r="H128" s="64">
        <v>0.9</v>
      </c>
      <c r="I128" s="64">
        <v>0.3</v>
      </c>
      <c r="J128" s="65">
        <v>0.3</v>
      </c>
    </row>
    <row r="129" spans="1:10" ht="22.25" customHeight="1" thickBot="1">
      <c r="A129" s="66" t="s">
        <v>56</v>
      </c>
      <c r="B129" s="67" t="s">
        <v>110</v>
      </c>
      <c r="C129" s="67">
        <v>1.2699999999999999E-2</v>
      </c>
      <c r="D129" s="67">
        <v>0.16</v>
      </c>
      <c r="E129" s="64">
        <f>C129/D129</f>
        <v>7.9375000000000001E-2</v>
      </c>
      <c r="F129" s="67">
        <v>800</v>
      </c>
      <c r="G129" s="67">
        <v>1090</v>
      </c>
      <c r="H129" s="67">
        <v>0.9</v>
      </c>
      <c r="I129" s="67">
        <v>0.3</v>
      </c>
      <c r="J129" s="68">
        <v>0.5</v>
      </c>
    </row>
    <row r="130" spans="1:10" ht="22.25" customHeight="1" thickBot="1">
      <c r="A130" s="123" t="s">
        <v>124</v>
      </c>
      <c r="B130" s="124"/>
      <c r="C130" s="124"/>
      <c r="D130" s="124"/>
      <c r="E130" s="124"/>
      <c r="F130" s="124"/>
      <c r="G130" s="124"/>
      <c r="H130" s="124"/>
      <c r="I130" s="124"/>
      <c r="J130" s="125"/>
    </row>
    <row r="131" spans="1:10" ht="22.25" customHeight="1">
      <c r="A131" s="69" t="s">
        <v>111</v>
      </c>
      <c r="B131" s="64" t="s">
        <v>112</v>
      </c>
      <c r="C131" s="64">
        <v>9.4999999999999998E-3</v>
      </c>
      <c r="D131" s="64">
        <v>0.16</v>
      </c>
      <c r="E131" s="64">
        <f>C131/D131</f>
        <v>5.9374999999999997E-2</v>
      </c>
      <c r="F131" s="64">
        <v>1120</v>
      </c>
      <c r="G131" s="64">
        <v>1460</v>
      </c>
      <c r="H131" s="64">
        <v>0.75</v>
      </c>
      <c r="I131" s="64">
        <v>0.5</v>
      </c>
      <c r="J131" s="65" t="s">
        <v>113</v>
      </c>
    </row>
    <row r="132" spans="1:10" ht="22.25" customHeight="1">
      <c r="A132" s="63" t="s">
        <v>114</v>
      </c>
      <c r="B132" s="64" t="s">
        <v>109</v>
      </c>
      <c r="C132" s="64" t="s">
        <v>93</v>
      </c>
      <c r="D132" s="64" t="s">
        <v>93</v>
      </c>
      <c r="E132" s="64">
        <v>1.05171844326658</v>
      </c>
      <c r="F132" s="64" t="s">
        <v>93</v>
      </c>
      <c r="G132" s="64" t="s">
        <v>93</v>
      </c>
      <c r="H132" s="64">
        <v>0.9</v>
      </c>
      <c r="I132" s="64">
        <v>0.3</v>
      </c>
      <c r="J132" s="65">
        <v>0.3</v>
      </c>
    </row>
    <row r="133" spans="1:10" ht="22.25" customHeight="1" thickBot="1">
      <c r="A133" s="66" t="s">
        <v>115</v>
      </c>
      <c r="B133" s="67" t="s">
        <v>110</v>
      </c>
      <c r="C133" s="67">
        <v>8.0000000000000004E-4</v>
      </c>
      <c r="D133" s="67">
        <v>45.28</v>
      </c>
      <c r="E133" s="64">
        <f>C133/D133</f>
        <v>1.7667844522968198E-5</v>
      </c>
      <c r="F133" s="67">
        <v>7824</v>
      </c>
      <c r="G133" s="67">
        <v>500</v>
      </c>
      <c r="H133" s="67">
        <v>0.75</v>
      </c>
      <c r="I133" s="67">
        <v>0.55000000000000004</v>
      </c>
      <c r="J133" s="68" t="s">
        <v>93</v>
      </c>
    </row>
    <row r="134" spans="1:10" ht="22.25" customHeight="1" thickBot="1">
      <c r="A134" s="123" t="s">
        <v>125</v>
      </c>
      <c r="B134" s="124"/>
      <c r="C134" s="124"/>
      <c r="D134" s="124"/>
      <c r="E134" s="124"/>
      <c r="F134" s="124"/>
      <c r="G134" s="124"/>
      <c r="H134" s="124"/>
      <c r="I134" s="124"/>
      <c r="J134" s="125"/>
    </row>
    <row r="135" spans="1:10" ht="22.25" customHeight="1">
      <c r="A135" s="63" t="s">
        <v>120</v>
      </c>
      <c r="B135" s="64" t="s">
        <v>109</v>
      </c>
      <c r="C135" s="64" t="s">
        <v>93</v>
      </c>
      <c r="D135" s="64" t="s">
        <v>93</v>
      </c>
      <c r="E135" s="64">
        <v>2.9938733024518199E-2</v>
      </c>
      <c r="F135" s="64" t="s">
        <v>93</v>
      </c>
      <c r="G135" s="64" t="s">
        <v>93</v>
      </c>
      <c r="H135" s="64">
        <v>0.9</v>
      </c>
      <c r="I135" s="64">
        <v>0.3</v>
      </c>
      <c r="J135" s="65">
        <v>0.3</v>
      </c>
    </row>
    <row r="136" spans="1:10" ht="22.25" customHeight="1">
      <c r="A136" s="63" t="s">
        <v>64</v>
      </c>
      <c r="B136" s="64" t="s">
        <v>107</v>
      </c>
      <c r="C136" s="64">
        <v>0.1016</v>
      </c>
      <c r="D136" s="64">
        <v>2.31</v>
      </c>
      <c r="E136" s="64">
        <f>C136/D136</f>
        <v>4.3982683982683977E-2</v>
      </c>
      <c r="F136" s="64">
        <v>2322</v>
      </c>
      <c r="G136" s="64">
        <v>832</v>
      </c>
      <c r="H136" s="64" t="s">
        <v>113</v>
      </c>
      <c r="I136" s="64" t="s">
        <v>113</v>
      </c>
      <c r="J136" s="65" t="s">
        <v>113</v>
      </c>
    </row>
    <row r="137" spans="1:10" ht="22.25" customHeight="1" thickBot="1">
      <c r="A137" s="66" t="s">
        <v>65</v>
      </c>
      <c r="B137" s="67" t="s">
        <v>117</v>
      </c>
      <c r="C137" s="67" t="s">
        <v>93</v>
      </c>
      <c r="D137" s="67" t="s">
        <v>93</v>
      </c>
      <c r="E137" s="64">
        <v>0.21648000000000001</v>
      </c>
      <c r="F137" s="67" t="s">
        <v>93</v>
      </c>
      <c r="G137" s="67" t="s">
        <v>93</v>
      </c>
      <c r="H137" s="67">
        <v>0.9</v>
      </c>
      <c r="I137" s="67">
        <v>0.3</v>
      </c>
      <c r="J137" s="68">
        <v>0.2</v>
      </c>
    </row>
    <row r="138" spans="1:10" ht="22.25" customHeight="1" thickBot="1">
      <c r="A138" s="123" t="s">
        <v>126</v>
      </c>
      <c r="B138" s="124"/>
      <c r="C138" s="124"/>
      <c r="D138" s="124"/>
      <c r="E138" s="124"/>
      <c r="F138" s="124"/>
      <c r="G138" s="124"/>
      <c r="H138" s="124"/>
      <c r="I138" s="124"/>
      <c r="J138" s="125"/>
    </row>
    <row r="139" spans="1:10" ht="22.25" customHeight="1">
      <c r="A139" s="63" t="s">
        <v>118</v>
      </c>
      <c r="B139" s="64" t="s">
        <v>68</v>
      </c>
      <c r="C139" s="64" t="s">
        <v>93</v>
      </c>
      <c r="D139" s="64" t="s">
        <v>93</v>
      </c>
      <c r="E139" s="64">
        <v>0.21648000000000001</v>
      </c>
      <c r="F139" s="64" t="s">
        <v>93</v>
      </c>
      <c r="G139" s="64" t="s">
        <v>93</v>
      </c>
      <c r="H139" s="64">
        <v>0.9</v>
      </c>
      <c r="I139" s="64">
        <v>0.3</v>
      </c>
      <c r="J139" s="65">
        <v>0.2</v>
      </c>
    </row>
    <row r="140" spans="1:10" ht="22.25" customHeight="1">
      <c r="A140" s="63" t="s">
        <v>119</v>
      </c>
      <c r="B140" s="64" t="s">
        <v>107</v>
      </c>
      <c r="C140" s="64">
        <v>0.1016</v>
      </c>
      <c r="D140" s="64">
        <v>2.31</v>
      </c>
      <c r="E140" s="64">
        <f>C140/D140</f>
        <v>4.3982683982683977E-2</v>
      </c>
      <c r="F140" s="64">
        <v>2322</v>
      </c>
      <c r="G140" s="64">
        <v>832</v>
      </c>
      <c r="H140" s="64" t="s">
        <v>113</v>
      </c>
      <c r="I140" s="64" t="s">
        <v>113</v>
      </c>
      <c r="J140" s="65" t="s">
        <v>113</v>
      </c>
    </row>
    <row r="141" spans="1:10" ht="22.25" customHeight="1" thickBot="1">
      <c r="A141" s="66" t="s">
        <v>116</v>
      </c>
      <c r="B141" s="67" t="s">
        <v>109</v>
      </c>
      <c r="C141" s="67" t="s">
        <v>93</v>
      </c>
      <c r="D141" s="67" t="s">
        <v>93</v>
      </c>
      <c r="E141" s="64">
        <v>2.9938733024518199E-2</v>
      </c>
      <c r="F141" s="67" t="s">
        <v>93</v>
      </c>
      <c r="G141" s="67" t="s">
        <v>93</v>
      </c>
      <c r="H141" s="67">
        <v>0.9</v>
      </c>
      <c r="I141" s="67">
        <v>0.3</v>
      </c>
      <c r="J141" s="68">
        <v>0.3</v>
      </c>
    </row>
    <row r="142" spans="1:10" ht="22.25" customHeight="1" thickBot="1">
      <c r="A142" s="123" t="s">
        <v>127</v>
      </c>
      <c r="B142" s="124"/>
      <c r="C142" s="124"/>
      <c r="D142" s="124"/>
      <c r="E142" s="124"/>
      <c r="F142" s="124"/>
      <c r="G142" s="124"/>
      <c r="H142" s="124"/>
      <c r="I142" s="124"/>
      <c r="J142" s="125"/>
    </row>
    <row r="143" spans="1:10" ht="22.25" customHeight="1">
      <c r="A143" s="69" t="s">
        <v>121</v>
      </c>
      <c r="B143" s="64" t="s">
        <v>71</v>
      </c>
      <c r="C143" s="64">
        <v>1.2699999999999999E-2</v>
      </c>
      <c r="D143" s="64">
        <v>0.16</v>
      </c>
      <c r="E143" s="64">
        <f>C143/D143</f>
        <v>7.9375000000000001E-2</v>
      </c>
      <c r="F143" s="64">
        <v>800</v>
      </c>
      <c r="G143" s="64">
        <v>1090</v>
      </c>
      <c r="H143" s="64">
        <v>0.9</v>
      </c>
      <c r="I143" s="64">
        <v>0.3</v>
      </c>
      <c r="J143" s="65">
        <v>0.5</v>
      </c>
    </row>
    <row r="144" spans="1:10" ht="22.25" customHeight="1" thickBot="1">
      <c r="A144" s="70" t="s">
        <v>121</v>
      </c>
      <c r="B144" s="67" t="s">
        <v>71</v>
      </c>
      <c r="C144" s="67">
        <v>1.2699999999999999E-2</v>
      </c>
      <c r="D144" s="67">
        <v>0.16</v>
      </c>
      <c r="E144" s="67">
        <f>C144/D144</f>
        <v>7.9375000000000001E-2</v>
      </c>
      <c r="F144" s="67">
        <v>800</v>
      </c>
      <c r="G144" s="67">
        <v>1090</v>
      </c>
      <c r="H144" s="67">
        <v>0.9</v>
      </c>
      <c r="I144" s="67">
        <v>0.3</v>
      </c>
      <c r="J144" s="68">
        <v>0.5</v>
      </c>
    </row>
    <row r="146" spans="1:10" ht="22.25" customHeight="1" thickBot="1"/>
    <row r="147" spans="1:10" ht="22.25" customHeight="1" thickBot="1">
      <c r="A147" s="126" t="s">
        <v>40</v>
      </c>
      <c r="B147" s="127"/>
      <c r="C147" s="127"/>
      <c r="D147" s="127"/>
      <c r="E147" s="127"/>
      <c r="F147" s="127"/>
      <c r="G147" s="127"/>
      <c r="H147" s="127"/>
      <c r="I147" s="127"/>
      <c r="J147" s="128"/>
    </row>
    <row r="148" spans="1:10" ht="22.25" customHeight="1" thickBot="1">
      <c r="A148" s="60" t="s">
        <v>47</v>
      </c>
      <c r="B148" s="61" t="s">
        <v>48</v>
      </c>
      <c r="C148" s="61" t="s">
        <v>49</v>
      </c>
      <c r="D148" s="61" t="s">
        <v>50</v>
      </c>
      <c r="E148" s="61" t="s">
        <v>72</v>
      </c>
      <c r="F148" s="61" t="s">
        <v>122</v>
      </c>
      <c r="G148" s="61" t="s">
        <v>51</v>
      </c>
      <c r="H148" s="61" t="s">
        <v>75</v>
      </c>
      <c r="I148" s="61" t="s">
        <v>74</v>
      </c>
      <c r="J148" s="62" t="s">
        <v>73</v>
      </c>
    </row>
    <row r="149" spans="1:10" ht="22.25" customHeight="1" thickBot="1">
      <c r="A149" s="123" t="s">
        <v>123</v>
      </c>
      <c r="B149" s="124"/>
      <c r="C149" s="124"/>
      <c r="D149" s="124"/>
      <c r="E149" s="124"/>
      <c r="F149" s="124"/>
      <c r="G149" s="124"/>
      <c r="H149" s="124"/>
      <c r="I149" s="124"/>
      <c r="J149" s="125"/>
    </row>
    <row r="150" spans="1:10" ht="22.25" customHeight="1">
      <c r="A150" s="63" t="s">
        <v>106</v>
      </c>
      <c r="B150" s="64" t="s">
        <v>107</v>
      </c>
      <c r="C150" s="64">
        <v>0.20319999999999999</v>
      </c>
      <c r="D150" s="64">
        <v>0.36458047986245201</v>
      </c>
      <c r="E150" s="64">
        <f>C150/D150</f>
        <v>0.55735293364214877</v>
      </c>
      <c r="F150" s="64">
        <v>2322</v>
      </c>
      <c r="G150" s="64">
        <v>832</v>
      </c>
      <c r="H150" s="64">
        <v>0.9</v>
      </c>
      <c r="I150" s="64">
        <v>0.2</v>
      </c>
      <c r="J150" s="65" t="s">
        <v>93</v>
      </c>
    </row>
    <row r="151" spans="1:10" ht="22.25" customHeight="1">
      <c r="A151" s="63" t="s">
        <v>108</v>
      </c>
      <c r="B151" s="64" t="s">
        <v>109</v>
      </c>
      <c r="C151" s="64" t="s">
        <v>93</v>
      </c>
      <c r="D151" s="64" t="s">
        <v>93</v>
      </c>
      <c r="E151" s="64">
        <v>2.9938733024518199E-2</v>
      </c>
      <c r="F151" s="64" t="s">
        <v>93</v>
      </c>
      <c r="G151" s="64" t="s">
        <v>93</v>
      </c>
      <c r="H151" s="64">
        <v>0.9</v>
      </c>
      <c r="I151" s="64">
        <v>0.3</v>
      </c>
      <c r="J151" s="65">
        <v>0.3</v>
      </c>
    </row>
    <row r="152" spans="1:10" ht="22.25" customHeight="1" thickBot="1">
      <c r="A152" s="66" t="s">
        <v>56</v>
      </c>
      <c r="B152" s="67" t="s">
        <v>110</v>
      </c>
      <c r="C152" s="67">
        <v>1.2699999999999999E-2</v>
      </c>
      <c r="D152" s="67">
        <v>0.16</v>
      </c>
      <c r="E152" s="64">
        <f>C152/D152</f>
        <v>7.9375000000000001E-2</v>
      </c>
      <c r="F152" s="67">
        <v>800</v>
      </c>
      <c r="G152" s="67">
        <v>1090</v>
      </c>
      <c r="H152" s="67">
        <v>0.9</v>
      </c>
      <c r="I152" s="67">
        <v>0.3</v>
      </c>
      <c r="J152" s="68">
        <v>0.5</v>
      </c>
    </row>
    <row r="153" spans="1:10" ht="22.25" customHeight="1" thickBot="1">
      <c r="A153" s="123" t="s">
        <v>124</v>
      </c>
      <c r="B153" s="124"/>
      <c r="C153" s="124"/>
      <c r="D153" s="124"/>
      <c r="E153" s="124"/>
      <c r="F153" s="124"/>
      <c r="G153" s="124"/>
      <c r="H153" s="124"/>
      <c r="I153" s="124"/>
      <c r="J153" s="125"/>
    </row>
    <row r="154" spans="1:10" ht="22.25" customHeight="1">
      <c r="A154" s="69" t="s">
        <v>111</v>
      </c>
      <c r="B154" s="64" t="s">
        <v>112</v>
      </c>
      <c r="C154" s="64">
        <v>9.4999999999999998E-3</v>
      </c>
      <c r="D154" s="64">
        <v>0.16</v>
      </c>
      <c r="E154" s="64">
        <f>C154/D154</f>
        <v>5.9374999999999997E-2</v>
      </c>
      <c r="F154" s="64">
        <v>1120</v>
      </c>
      <c r="G154" s="64">
        <v>1460</v>
      </c>
      <c r="H154" s="64">
        <v>0.75</v>
      </c>
      <c r="I154" s="64">
        <v>0.5</v>
      </c>
      <c r="J154" s="65" t="s">
        <v>113</v>
      </c>
    </row>
    <row r="155" spans="1:10" ht="22.25" customHeight="1">
      <c r="A155" s="63" t="s">
        <v>114</v>
      </c>
      <c r="B155" s="64" t="s">
        <v>109</v>
      </c>
      <c r="C155" s="64" t="s">
        <v>93</v>
      </c>
      <c r="D155" s="64" t="s">
        <v>93</v>
      </c>
      <c r="E155" s="64">
        <v>1.05171844326658</v>
      </c>
      <c r="F155" s="64" t="s">
        <v>93</v>
      </c>
      <c r="G155" s="64" t="s">
        <v>93</v>
      </c>
      <c r="H155" s="64">
        <v>0.9</v>
      </c>
      <c r="I155" s="64">
        <v>0.3</v>
      </c>
      <c r="J155" s="65">
        <v>0.3</v>
      </c>
    </row>
    <row r="156" spans="1:10" ht="22.25" customHeight="1" thickBot="1">
      <c r="A156" s="66" t="s">
        <v>115</v>
      </c>
      <c r="B156" s="67" t="s">
        <v>110</v>
      </c>
      <c r="C156" s="67">
        <v>8.0000000000000004E-4</v>
      </c>
      <c r="D156" s="67">
        <v>45.28</v>
      </c>
      <c r="E156" s="64">
        <f>C156/D156</f>
        <v>1.7667844522968198E-5</v>
      </c>
      <c r="F156" s="67">
        <v>7824</v>
      </c>
      <c r="G156" s="67">
        <v>500</v>
      </c>
      <c r="H156" s="67">
        <v>0.75</v>
      </c>
      <c r="I156" s="67">
        <v>0.55000000000000004</v>
      </c>
      <c r="J156" s="68" t="s">
        <v>93</v>
      </c>
    </row>
    <row r="157" spans="1:10" ht="22.25" customHeight="1" thickBot="1">
      <c r="A157" s="123" t="s">
        <v>125</v>
      </c>
      <c r="B157" s="124"/>
      <c r="C157" s="124"/>
      <c r="D157" s="124"/>
      <c r="E157" s="124"/>
      <c r="F157" s="124"/>
      <c r="G157" s="124"/>
      <c r="H157" s="124"/>
      <c r="I157" s="124"/>
      <c r="J157" s="125"/>
    </row>
    <row r="158" spans="1:10" ht="22.25" customHeight="1">
      <c r="A158" s="63" t="s">
        <v>120</v>
      </c>
      <c r="B158" s="64" t="s">
        <v>109</v>
      </c>
      <c r="C158" s="64" t="s">
        <v>93</v>
      </c>
      <c r="D158" s="64" t="s">
        <v>93</v>
      </c>
      <c r="E158" s="64">
        <v>2.9938733024518199E-2</v>
      </c>
      <c r="F158" s="64" t="s">
        <v>93</v>
      </c>
      <c r="G158" s="64" t="s">
        <v>93</v>
      </c>
      <c r="H158" s="64">
        <v>0.9</v>
      </c>
      <c r="I158" s="64">
        <v>0.3</v>
      </c>
      <c r="J158" s="65">
        <v>0.3</v>
      </c>
    </row>
    <row r="159" spans="1:10" ht="22.25" customHeight="1">
      <c r="A159" s="63" t="s">
        <v>64</v>
      </c>
      <c r="B159" s="64" t="s">
        <v>107</v>
      </c>
      <c r="C159" s="64">
        <v>0.1016</v>
      </c>
      <c r="D159" s="64">
        <v>2.31</v>
      </c>
      <c r="E159" s="64">
        <f>C159/D159</f>
        <v>4.3982683982683977E-2</v>
      </c>
      <c r="F159" s="64">
        <v>2322</v>
      </c>
      <c r="G159" s="64">
        <v>832</v>
      </c>
      <c r="H159" s="64" t="s">
        <v>113</v>
      </c>
      <c r="I159" s="64" t="s">
        <v>113</v>
      </c>
      <c r="J159" s="65" t="s">
        <v>113</v>
      </c>
    </row>
    <row r="160" spans="1:10" ht="22.25" customHeight="1" thickBot="1">
      <c r="A160" s="66" t="s">
        <v>65</v>
      </c>
      <c r="B160" s="67" t="s">
        <v>117</v>
      </c>
      <c r="C160" s="67" t="s">
        <v>93</v>
      </c>
      <c r="D160" s="67" t="s">
        <v>93</v>
      </c>
      <c r="E160" s="64">
        <v>0.21648000000000001</v>
      </c>
      <c r="F160" s="67" t="s">
        <v>93</v>
      </c>
      <c r="G160" s="67" t="s">
        <v>93</v>
      </c>
      <c r="H160" s="67">
        <v>0.9</v>
      </c>
      <c r="I160" s="67">
        <v>0.3</v>
      </c>
      <c r="J160" s="68">
        <v>0.2</v>
      </c>
    </row>
    <row r="161" spans="1:10" ht="22.25" customHeight="1" thickBot="1">
      <c r="A161" s="123" t="s">
        <v>126</v>
      </c>
      <c r="B161" s="124"/>
      <c r="C161" s="124"/>
      <c r="D161" s="124"/>
      <c r="E161" s="124"/>
      <c r="F161" s="124"/>
      <c r="G161" s="124"/>
      <c r="H161" s="124"/>
      <c r="I161" s="124"/>
      <c r="J161" s="125"/>
    </row>
    <row r="162" spans="1:10" ht="22.25" customHeight="1">
      <c r="A162" s="63" t="s">
        <v>118</v>
      </c>
      <c r="B162" s="64" t="s">
        <v>68</v>
      </c>
      <c r="C162" s="64" t="s">
        <v>93</v>
      </c>
      <c r="D162" s="64" t="s">
        <v>93</v>
      </c>
      <c r="E162" s="64">
        <v>0.21648000000000001</v>
      </c>
      <c r="F162" s="64" t="s">
        <v>93</v>
      </c>
      <c r="G162" s="64" t="s">
        <v>93</v>
      </c>
      <c r="H162" s="64">
        <v>0.9</v>
      </c>
      <c r="I162" s="64">
        <v>0.3</v>
      </c>
      <c r="J162" s="65">
        <v>0.2</v>
      </c>
    </row>
    <row r="163" spans="1:10" ht="22.25" customHeight="1">
      <c r="A163" s="63" t="s">
        <v>119</v>
      </c>
      <c r="B163" s="64" t="s">
        <v>107</v>
      </c>
      <c r="C163" s="64">
        <v>0.1016</v>
      </c>
      <c r="D163" s="64">
        <v>2.31</v>
      </c>
      <c r="E163" s="64">
        <f>C163/D163</f>
        <v>4.3982683982683977E-2</v>
      </c>
      <c r="F163" s="64">
        <v>2322</v>
      </c>
      <c r="G163" s="64">
        <v>832</v>
      </c>
      <c r="H163" s="64" t="s">
        <v>113</v>
      </c>
      <c r="I163" s="64" t="s">
        <v>113</v>
      </c>
      <c r="J163" s="65" t="s">
        <v>113</v>
      </c>
    </row>
    <row r="164" spans="1:10" ht="22.25" customHeight="1" thickBot="1">
      <c r="A164" s="66" t="s">
        <v>116</v>
      </c>
      <c r="B164" s="67" t="s">
        <v>109</v>
      </c>
      <c r="C164" s="67" t="s">
        <v>93</v>
      </c>
      <c r="D164" s="67" t="s">
        <v>93</v>
      </c>
      <c r="E164" s="64">
        <v>2.9938733024518199E-2</v>
      </c>
      <c r="F164" s="67" t="s">
        <v>93</v>
      </c>
      <c r="G164" s="67" t="s">
        <v>93</v>
      </c>
      <c r="H164" s="67">
        <v>0.9</v>
      </c>
      <c r="I164" s="67">
        <v>0.3</v>
      </c>
      <c r="J164" s="68">
        <v>0.3</v>
      </c>
    </row>
    <row r="165" spans="1:10" ht="22.25" customHeight="1" thickBot="1">
      <c r="A165" s="123" t="s">
        <v>127</v>
      </c>
      <c r="B165" s="124"/>
      <c r="C165" s="124"/>
      <c r="D165" s="124"/>
      <c r="E165" s="124"/>
      <c r="F165" s="124"/>
      <c r="G165" s="124"/>
      <c r="H165" s="124"/>
      <c r="I165" s="124"/>
      <c r="J165" s="125"/>
    </row>
    <row r="166" spans="1:10" ht="22.25" customHeight="1">
      <c r="A166" s="69" t="s">
        <v>121</v>
      </c>
      <c r="B166" s="64" t="s">
        <v>71</v>
      </c>
      <c r="C166" s="64">
        <v>1.2699999999999999E-2</v>
      </c>
      <c r="D166" s="64">
        <v>0.16</v>
      </c>
      <c r="E166" s="64">
        <f>C166/D166</f>
        <v>7.9375000000000001E-2</v>
      </c>
      <c r="F166" s="64">
        <v>800</v>
      </c>
      <c r="G166" s="64">
        <v>1090</v>
      </c>
      <c r="H166" s="64">
        <v>0.9</v>
      </c>
      <c r="I166" s="64">
        <v>0.3</v>
      </c>
      <c r="J166" s="65">
        <v>0.5</v>
      </c>
    </row>
    <row r="167" spans="1:10" ht="22.25" customHeight="1" thickBot="1">
      <c r="A167" s="70" t="s">
        <v>121</v>
      </c>
      <c r="B167" s="67" t="s">
        <v>71</v>
      </c>
      <c r="C167" s="67">
        <v>1.2699999999999999E-2</v>
      </c>
      <c r="D167" s="67">
        <v>0.16</v>
      </c>
      <c r="E167" s="67">
        <f>C167/D167</f>
        <v>7.9375000000000001E-2</v>
      </c>
      <c r="F167" s="67">
        <v>800</v>
      </c>
      <c r="G167" s="67">
        <v>1090</v>
      </c>
      <c r="H167" s="67">
        <v>0.9</v>
      </c>
      <c r="I167" s="67">
        <v>0.3</v>
      </c>
      <c r="J167" s="68">
        <v>0.5</v>
      </c>
    </row>
  </sheetData>
  <mergeCells count="44">
    <mergeCell ref="A41:J41"/>
    <mergeCell ref="A45:J45"/>
    <mergeCell ref="A49:J49"/>
    <mergeCell ref="B1:H1"/>
    <mergeCell ref="A9:J9"/>
    <mergeCell ref="A7:J7"/>
    <mergeCell ref="A14:J14"/>
    <mergeCell ref="A18:J18"/>
    <mergeCell ref="A6:J6"/>
    <mergeCell ref="A22:J22"/>
    <mergeCell ref="A26:J26"/>
    <mergeCell ref="A31:J31"/>
    <mergeCell ref="A33:J33"/>
    <mergeCell ref="A37:J37"/>
    <mergeCell ref="A54:J54"/>
    <mergeCell ref="A56:J56"/>
    <mergeCell ref="A60:J60"/>
    <mergeCell ref="A64:J64"/>
    <mergeCell ref="A68:J68"/>
    <mergeCell ref="A72:J72"/>
    <mergeCell ref="A77:J77"/>
    <mergeCell ref="A79:J79"/>
    <mergeCell ref="A84:J84"/>
    <mergeCell ref="A88:J88"/>
    <mergeCell ref="A92:J92"/>
    <mergeCell ref="A96:J96"/>
    <mergeCell ref="A101:J101"/>
    <mergeCell ref="A103:J103"/>
    <mergeCell ref="A107:J107"/>
    <mergeCell ref="A111:J111"/>
    <mergeCell ref="A115:J115"/>
    <mergeCell ref="A119:J119"/>
    <mergeCell ref="A124:J124"/>
    <mergeCell ref="A126:J126"/>
    <mergeCell ref="A130:J130"/>
    <mergeCell ref="A134:J134"/>
    <mergeCell ref="A138:J138"/>
    <mergeCell ref="A142:J142"/>
    <mergeCell ref="A147:J147"/>
    <mergeCell ref="A149:J149"/>
    <mergeCell ref="A153:J153"/>
    <mergeCell ref="A157:J157"/>
    <mergeCell ref="A161:J161"/>
    <mergeCell ref="A165:J16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99B88-DB87-4E9E-8C68-E66C381958A6}">
  <dimension ref="A1:K10"/>
  <sheetViews>
    <sheetView workbookViewId="0">
      <selection activeCell="N11" sqref="N11"/>
    </sheetView>
  </sheetViews>
  <sheetFormatPr defaultRowHeight="14.25"/>
  <cols>
    <col min="1" max="4" width="11.86328125" customWidth="1"/>
    <col min="5" max="5" width="14.1328125" customWidth="1"/>
    <col min="6" max="6" width="15.796875" customWidth="1"/>
    <col min="7" max="8" width="11.86328125" customWidth="1"/>
    <col min="9" max="9" width="17.33203125" customWidth="1"/>
    <col min="10" max="11" width="11.86328125" customWidth="1"/>
  </cols>
  <sheetData>
    <row r="1" spans="1:11" ht="34.9" customHeight="1">
      <c r="A1" s="92"/>
      <c r="B1" s="138" t="s">
        <v>136</v>
      </c>
      <c r="C1" s="138"/>
      <c r="D1" s="93" t="s">
        <v>137</v>
      </c>
      <c r="E1" s="93" t="s">
        <v>138</v>
      </c>
      <c r="F1" s="93" t="s">
        <v>139</v>
      </c>
      <c r="G1" s="138" t="s">
        <v>153</v>
      </c>
      <c r="H1" s="138"/>
      <c r="I1" s="93" t="s">
        <v>140</v>
      </c>
      <c r="J1" s="93" t="s">
        <v>141</v>
      </c>
      <c r="K1" s="94" t="s">
        <v>142</v>
      </c>
    </row>
    <row r="2" spans="1:11" ht="34.9" customHeight="1" thickBot="1">
      <c r="A2" s="91" t="s">
        <v>135</v>
      </c>
      <c r="B2" s="67" t="s">
        <v>143</v>
      </c>
      <c r="C2" s="67" t="s">
        <v>144</v>
      </c>
      <c r="D2" s="86" t="s">
        <v>145</v>
      </c>
      <c r="E2" s="86" t="s">
        <v>146</v>
      </c>
      <c r="F2" s="86" t="s">
        <v>146</v>
      </c>
      <c r="G2" s="86" t="s">
        <v>147</v>
      </c>
      <c r="H2" s="86" t="s">
        <v>148</v>
      </c>
      <c r="I2" s="86" t="s">
        <v>148</v>
      </c>
      <c r="J2" s="86" t="s">
        <v>152</v>
      </c>
      <c r="K2" s="88" t="s">
        <v>152</v>
      </c>
    </row>
    <row r="3" spans="1:11" ht="34.9" customHeight="1">
      <c r="A3" s="89" t="s">
        <v>149</v>
      </c>
      <c r="B3" s="82">
        <v>70</v>
      </c>
      <c r="C3" s="82">
        <v>45</v>
      </c>
      <c r="D3" s="82">
        <v>16</v>
      </c>
      <c r="E3" s="83">
        <v>13</v>
      </c>
      <c r="F3" s="83">
        <v>10</v>
      </c>
      <c r="G3" s="83" t="s">
        <v>93</v>
      </c>
      <c r="H3" s="82" t="s">
        <v>93</v>
      </c>
      <c r="I3" s="82" t="s">
        <v>150</v>
      </c>
      <c r="J3" s="82">
        <v>22</v>
      </c>
      <c r="K3" s="84" t="s">
        <v>93</v>
      </c>
    </row>
    <row r="4" spans="1:11" ht="34.9" customHeight="1">
      <c r="A4" s="89" t="s">
        <v>38</v>
      </c>
      <c r="B4" s="82">
        <v>75</v>
      </c>
      <c r="C4" s="82">
        <v>55</v>
      </c>
      <c r="D4" s="82">
        <v>9</v>
      </c>
      <c r="E4" s="83">
        <v>8.9</v>
      </c>
      <c r="F4" s="83">
        <v>25</v>
      </c>
      <c r="G4" s="83">
        <v>10</v>
      </c>
      <c r="H4" s="82" t="s">
        <v>93</v>
      </c>
      <c r="I4" s="82">
        <v>1</v>
      </c>
      <c r="J4" s="82">
        <v>23</v>
      </c>
      <c r="K4" s="84">
        <v>20</v>
      </c>
    </row>
    <row r="5" spans="1:11" ht="34.9" customHeight="1">
      <c r="A5" s="89" t="s">
        <v>42</v>
      </c>
      <c r="B5" s="82">
        <v>75</v>
      </c>
      <c r="C5" s="82">
        <v>55</v>
      </c>
      <c r="D5" s="82">
        <v>18</v>
      </c>
      <c r="E5" s="83">
        <v>11.5</v>
      </c>
      <c r="F5" s="83">
        <v>25</v>
      </c>
      <c r="G5" s="83">
        <v>17.5</v>
      </c>
      <c r="H5" s="82" t="s">
        <v>93</v>
      </c>
      <c r="I5" s="82">
        <v>1</v>
      </c>
      <c r="J5" s="82">
        <v>22</v>
      </c>
      <c r="K5" s="84">
        <v>22</v>
      </c>
    </row>
    <row r="6" spans="1:11" ht="34.9" customHeight="1">
      <c r="A6" s="90" t="s">
        <v>40</v>
      </c>
      <c r="B6" s="83">
        <v>75</v>
      </c>
      <c r="C6" s="83">
        <v>55</v>
      </c>
      <c r="D6" s="83">
        <v>4.5</v>
      </c>
      <c r="E6" s="83">
        <v>13.4</v>
      </c>
      <c r="F6" s="83">
        <v>15</v>
      </c>
      <c r="G6" s="83">
        <v>7</v>
      </c>
      <c r="H6" s="83" t="s">
        <v>93</v>
      </c>
      <c r="I6" s="83">
        <v>1</v>
      </c>
      <c r="J6" s="83">
        <v>22</v>
      </c>
      <c r="K6" s="85">
        <v>18</v>
      </c>
    </row>
    <row r="7" spans="1:11" ht="34.9" customHeight="1">
      <c r="A7" s="90" t="s">
        <v>41</v>
      </c>
      <c r="B7" s="83">
        <v>75</v>
      </c>
      <c r="C7" s="83">
        <v>55</v>
      </c>
      <c r="D7" s="83">
        <v>3.5</v>
      </c>
      <c r="E7" s="83">
        <v>9.1</v>
      </c>
      <c r="F7" s="83">
        <v>10</v>
      </c>
      <c r="G7" s="83" t="s">
        <v>93</v>
      </c>
      <c r="H7" s="83">
        <v>4</v>
      </c>
      <c r="I7" s="83">
        <v>1</v>
      </c>
      <c r="J7" s="83">
        <v>23</v>
      </c>
      <c r="K7" s="85">
        <v>20</v>
      </c>
    </row>
    <row r="8" spans="1:11" ht="34.9" customHeight="1">
      <c r="A8" s="90" t="s">
        <v>43</v>
      </c>
      <c r="B8" s="83">
        <v>75</v>
      </c>
      <c r="C8" s="83">
        <v>55</v>
      </c>
      <c r="D8" s="83">
        <v>8</v>
      </c>
      <c r="E8" s="83">
        <v>13</v>
      </c>
      <c r="F8" s="83">
        <v>20</v>
      </c>
      <c r="G8" s="83">
        <v>8.3000000000000007</v>
      </c>
      <c r="H8" s="83" t="s">
        <v>93</v>
      </c>
      <c r="I8" s="83">
        <v>1</v>
      </c>
      <c r="J8" s="83">
        <v>25</v>
      </c>
      <c r="K8" s="85">
        <v>22</v>
      </c>
    </row>
    <row r="9" spans="1:11" ht="34.9" customHeight="1" thickBot="1">
      <c r="A9" s="91" t="s">
        <v>44</v>
      </c>
      <c r="B9" s="86">
        <v>110</v>
      </c>
      <c r="C9" s="86">
        <v>185</v>
      </c>
      <c r="D9" s="86">
        <v>20</v>
      </c>
      <c r="E9" s="87">
        <v>10</v>
      </c>
      <c r="F9" s="87">
        <v>14</v>
      </c>
      <c r="G9" s="87" t="s">
        <v>93</v>
      </c>
      <c r="H9" s="87" t="s">
        <v>93</v>
      </c>
      <c r="I9" s="86" t="s">
        <v>151</v>
      </c>
      <c r="J9" s="86">
        <v>25</v>
      </c>
      <c r="K9" s="88" t="s">
        <v>93</v>
      </c>
    </row>
    <row r="10" spans="1:11" ht="30.75" customHeight="1">
      <c r="A10" s="136" t="s">
        <v>154</v>
      </c>
      <c r="B10" s="137"/>
      <c r="C10" s="137"/>
      <c r="D10" s="137"/>
      <c r="E10" s="137"/>
      <c r="F10" s="137"/>
      <c r="G10" s="137"/>
      <c r="H10" s="137"/>
      <c r="I10" s="137"/>
      <c r="J10" s="137"/>
      <c r="K10" s="137"/>
    </row>
  </sheetData>
  <mergeCells count="3">
    <mergeCell ref="A10:K10"/>
    <mergeCell ref="B1:C1"/>
    <mergeCell ref="G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52B3B-2544-4373-9C53-20335501D9BF}">
  <dimension ref="A1:Z98"/>
  <sheetViews>
    <sheetView tabSelected="1" zoomScale="85" zoomScaleNormal="85" workbookViewId="0">
      <pane ySplit="1" topLeftCell="A2" activePane="bottomLeft" state="frozen"/>
      <selection activeCell="L98" sqref="L98"/>
      <selection pane="bottomLeft" activeCell="D12" sqref="D12"/>
    </sheetView>
  </sheetViews>
  <sheetFormatPr defaultColWidth="9.06640625" defaultRowHeight="14.25"/>
  <cols>
    <col min="1" max="1" width="14.73046875" style="82" customWidth="1"/>
    <col min="2" max="2" width="31.06640625" style="82" customWidth="1"/>
    <col min="3" max="16384" width="9.06640625" style="82"/>
  </cols>
  <sheetData>
    <row r="1" spans="1:26" s="95" customFormat="1" ht="15.75">
      <c r="A1" s="111" t="s">
        <v>77</v>
      </c>
      <c r="B1" s="112" t="s">
        <v>175</v>
      </c>
      <c r="C1" s="113">
        <v>1</v>
      </c>
      <c r="D1" s="113">
        <v>2</v>
      </c>
      <c r="E1" s="113">
        <v>3</v>
      </c>
      <c r="F1" s="113">
        <v>4</v>
      </c>
      <c r="G1" s="113">
        <v>5</v>
      </c>
      <c r="H1" s="113">
        <v>6</v>
      </c>
      <c r="I1" s="113">
        <v>7</v>
      </c>
      <c r="J1" s="113">
        <v>8</v>
      </c>
      <c r="K1" s="113">
        <v>9</v>
      </c>
      <c r="L1" s="113">
        <v>10</v>
      </c>
      <c r="M1" s="113">
        <v>11</v>
      </c>
      <c r="N1" s="113">
        <v>12</v>
      </c>
      <c r="O1" s="113">
        <v>13</v>
      </c>
      <c r="P1" s="113">
        <v>14</v>
      </c>
      <c r="Q1" s="113">
        <v>15</v>
      </c>
      <c r="R1" s="113">
        <v>16</v>
      </c>
      <c r="S1" s="113">
        <v>17</v>
      </c>
      <c r="T1" s="113">
        <v>18</v>
      </c>
      <c r="U1" s="113">
        <v>19</v>
      </c>
      <c r="V1" s="113">
        <v>20</v>
      </c>
      <c r="W1" s="113">
        <v>21</v>
      </c>
      <c r="X1" s="113">
        <v>22</v>
      </c>
      <c r="Y1" s="113">
        <v>23</v>
      </c>
      <c r="Z1" s="114">
        <v>24</v>
      </c>
    </row>
    <row r="2" spans="1:26" ht="14.25" customHeight="1">
      <c r="A2" s="140" t="s">
        <v>39</v>
      </c>
      <c r="B2" s="98" t="s">
        <v>155</v>
      </c>
      <c r="C2" s="102">
        <v>7</v>
      </c>
      <c r="D2" s="102">
        <v>7</v>
      </c>
      <c r="E2" s="102">
        <v>7</v>
      </c>
      <c r="F2" s="102">
        <v>7</v>
      </c>
      <c r="G2" s="102">
        <v>19</v>
      </c>
      <c r="H2" s="102">
        <v>39</v>
      </c>
      <c r="I2" s="102">
        <v>44</v>
      </c>
      <c r="J2" s="102">
        <v>39</v>
      </c>
      <c r="K2" s="102">
        <v>17</v>
      </c>
      <c r="L2" s="102">
        <v>12</v>
      </c>
      <c r="M2" s="102">
        <v>12</v>
      </c>
      <c r="N2" s="102">
        <v>12</v>
      </c>
      <c r="O2" s="102">
        <v>12</v>
      </c>
      <c r="P2" s="102">
        <v>12</v>
      </c>
      <c r="Q2" s="102">
        <v>12</v>
      </c>
      <c r="R2" s="102">
        <v>21</v>
      </c>
      <c r="S2" s="102">
        <v>44</v>
      </c>
      <c r="T2" s="102">
        <v>62</v>
      </c>
      <c r="U2" s="102">
        <v>83</v>
      </c>
      <c r="V2" s="102">
        <v>99</v>
      </c>
      <c r="W2" s="102">
        <v>100</v>
      </c>
      <c r="X2" s="102">
        <v>69</v>
      </c>
      <c r="Y2" s="102">
        <v>38</v>
      </c>
      <c r="Z2" s="103">
        <v>16</v>
      </c>
    </row>
    <row r="3" spans="1:26">
      <c r="A3" s="141"/>
      <c r="B3" s="98" t="s">
        <v>156</v>
      </c>
      <c r="C3" s="98">
        <v>2</v>
      </c>
      <c r="D3" s="98">
        <v>2</v>
      </c>
      <c r="E3" s="98">
        <v>2</v>
      </c>
      <c r="F3" s="98">
        <v>2</v>
      </c>
      <c r="G3" s="98">
        <v>2</v>
      </c>
      <c r="H3" s="98">
        <v>2</v>
      </c>
      <c r="I3" s="98">
        <v>2</v>
      </c>
      <c r="J3" s="98">
        <v>35</v>
      </c>
      <c r="K3" s="98">
        <v>69</v>
      </c>
      <c r="L3" s="98">
        <v>43</v>
      </c>
      <c r="M3" s="98">
        <v>37</v>
      </c>
      <c r="N3" s="98">
        <v>43</v>
      </c>
      <c r="O3" s="98">
        <v>58</v>
      </c>
      <c r="P3" s="98">
        <v>48</v>
      </c>
      <c r="Q3" s="98">
        <v>37</v>
      </c>
      <c r="R3" s="98">
        <v>37</v>
      </c>
      <c r="S3" s="98">
        <v>46</v>
      </c>
      <c r="T3" s="98">
        <v>62</v>
      </c>
      <c r="U3" s="98">
        <v>20</v>
      </c>
      <c r="V3" s="98">
        <v>12</v>
      </c>
      <c r="W3" s="98">
        <v>4</v>
      </c>
      <c r="X3" s="98">
        <v>4</v>
      </c>
      <c r="Y3" s="98">
        <v>2</v>
      </c>
      <c r="Z3" s="104">
        <v>2</v>
      </c>
    </row>
    <row r="4" spans="1:26">
      <c r="A4" s="141"/>
      <c r="B4" s="99" t="s">
        <v>157</v>
      </c>
      <c r="C4" s="99">
        <v>100</v>
      </c>
      <c r="D4" s="98">
        <v>100</v>
      </c>
      <c r="E4" s="98">
        <v>100</v>
      </c>
      <c r="F4" s="98">
        <v>100</v>
      </c>
      <c r="G4" s="98">
        <v>100</v>
      </c>
      <c r="H4" s="98">
        <v>100</v>
      </c>
      <c r="I4" s="98">
        <v>100</v>
      </c>
      <c r="J4" s="99">
        <v>85</v>
      </c>
      <c r="K4" s="99">
        <v>39</v>
      </c>
      <c r="L4" s="99">
        <v>25</v>
      </c>
      <c r="M4" s="99">
        <v>25</v>
      </c>
      <c r="N4" s="99">
        <v>25</v>
      </c>
      <c r="O4" s="99">
        <v>25</v>
      </c>
      <c r="P4" s="99">
        <v>25</v>
      </c>
      <c r="Q4" s="99">
        <v>25</v>
      </c>
      <c r="R4" s="99">
        <v>25</v>
      </c>
      <c r="S4" s="99">
        <v>30</v>
      </c>
      <c r="T4" s="99">
        <v>52</v>
      </c>
      <c r="U4" s="99">
        <v>87</v>
      </c>
      <c r="V4" s="99">
        <v>87</v>
      </c>
      <c r="W4" s="99">
        <v>87</v>
      </c>
      <c r="X4" s="99">
        <v>100</v>
      </c>
      <c r="Y4" s="99">
        <v>100</v>
      </c>
      <c r="Z4" s="105">
        <v>100</v>
      </c>
    </row>
    <row r="5" spans="1:26">
      <c r="A5" s="141"/>
      <c r="B5" s="106" t="s">
        <v>158</v>
      </c>
      <c r="C5" s="144">
        <v>22</v>
      </c>
      <c r="D5" s="144"/>
      <c r="E5" s="144"/>
      <c r="F5" s="144"/>
      <c r="G5" s="144"/>
      <c r="H5" s="144"/>
      <c r="I5" s="144"/>
      <c r="J5" s="144" t="s">
        <v>159</v>
      </c>
      <c r="K5" s="144"/>
      <c r="L5" s="144"/>
      <c r="M5" s="144"/>
      <c r="N5" s="144"/>
      <c r="O5" s="144"/>
      <c r="P5" s="144">
        <v>22</v>
      </c>
      <c r="Q5" s="144"/>
      <c r="R5" s="144"/>
      <c r="S5" s="144"/>
      <c r="T5" s="144"/>
      <c r="U5" s="144"/>
      <c r="V5" s="144"/>
      <c r="W5" s="144"/>
      <c r="X5" s="144"/>
      <c r="Y5" s="144"/>
      <c r="Z5" s="145"/>
    </row>
    <row r="6" spans="1:26">
      <c r="A6" s="141"/>
      <c r="B6" s="110" t="s">
        <v>160</v>
      </c>
      <c r="C6" s="146" t="s">
        <v>159</v>
      </c>
      <c r="D6" s="146"/>
      <c r="E6" s="146"/>
      <c r="F6" s="146"/>
      <c r="G6" s="146"/>
      <c r="H6" s="146"/>
      <c r="I6" s="146"/>
      <c r="J6" s="146"/>
      <c r="K6" s="146"/>
      <c r="L6" s="146"/>
      <c r="M6" s="146"/>
      <c r="N6" s="146"/>
      <c r="O6" s="146"/>
      <c r="P6" s="146"/>
      <c r="Q6" s="146"/>
      <c r="R6" s="146"/>
      <c r="S6" s="146"/>
      <c r="T6" s="146"/>
      <c r="U6" s="146"/>
      <c r="V6" s="146"/>
      <c r="W6" s="146"/>
      <c r="X6" s="146"/>
      <c r="Y6" s="146"/>
      <c r="Z6" s="147"/>
    </row>
    <row r="7" spans="1:26" ht="14.45" customHeight="1">
      <c r="A7" s="141"/>
      <c r="B7" s="100" t="s">
        <v>176</v>
      </c>
      <c r="C7" s="150">
        <v>0.3</v>
      </c>
      <c r="D7" s="150"/>
      <c r="E7" s="150"/>
      <c r="F7" s="150"/>
      <c r="G7" s="150"/>
      <c r="H7" s="150"/>
      <c r="I7" s="150"/>
      <c r="J7" s="150"/>
      <c r="K7" s="150"/>
      <c r="L7" s="150"/>
      <c r="M7" s="150"/>
      <c r="N7" s="150"/>
      <c r="O7" s="150"/>
      <c r="P7" s="150"/>
      <c r="Q7" s="150"/>
      <c r="R7" s="150"/>
      <c r="S7" s="150"/>
      <c r="T7" s="150"/>
      <c r="U7" s="150"/>
      <c r="V7" s="150"/>
      <c r="W7" s="150"/>
      <c r="X7" s="150"/>
      <c r="Y7" s="150"/>
      <c r="Z7" s="151"/>
    </row>
    <row r="8" spans="1:26" ht="14.45" customHeight="1" thickBot="1">
      <c r="A8" s="142"/>
      <c r="B8" s="100" t="s">
        <v>161</v>
      </c>
      <c r="C8" s="148">
        <v>3</v>
      </c>
      <c r="D8" s="148"/>
      <c r="E8" s="148"/>
      <c r="F8" s="148"/>
      <c r="G8" s="148"/>
      <c r="H8" s="148"/>
      <c r="I8" s="148"/>
      <c r="J8" s="148"/>
      <c r="K8" s="148"/>
      <c r="L8" s="148"/>
      <c r="M8" s="148"/>
      <c r="N8" s="148"/>
      <c r="O8" s="148"/>
      <c r="P8" s="148"/>
      <c r="Q8" s="148"/>
      <c r="R8" s="148"/>
      <c r="S8" s="148"/>
      <c r="T8" s="148"/>
      <c r="U8" s="148"/>
      <c r="V8" s="148"/>
      <c r="W8" s="148"/>
      <c r="X8" s="148"/>
      <c r="Y8" s="148"/>
      <c r="Z8" s="149"/>
    </row>
    <row r="9" spans="1:26" s="95" customFormat="1" ht="16.149999999999999" thickBot="1">
      <c r="A9" s="111" t="s">
        <v>77</v>
      </c>
      <c r="B9" s="112" t="s">
        <v>175</v>
      </c>
      <c r="C9" s="113">
        <v>1</v>
      </c>
      <c r="D9" s="113">
        <v>2</v>
      </c>
      <c r="E9" s="113">
        <v>3</v>
      </c>
      <c r="F9" s="113">
        <v>4</v>
      </c>
      <c r="G9" s="113">
        <v>5</v>
      </c>
      <c r="H9" s="113">
        <v>6</v>
      </c>
      <c r="I9" s="113">
        <v>7</v>
      </c>
      <c r="J9" s="113">
        <v>8</v>
      </c>
      <c r="K9" s="113">
        <v>9</v>
      </c>
      <c r="L9" s="113">
        <v>10</v>
      </c>
      <c r="M9" s="113">
        <v>11</v>
      </c>
      <c r="N9" s="113">
        <v>12</v>
      </c>
      <c r="O9" s="113">
        <v>13</v>
      </c>
      <c r="P9" s="113">
        <v>14</v>
      </c>
      <c r="Q9" s="113">
        <v>15</v>
      </c>
      <c r="R9" s="113">
        <v>16</v>
      </c>
      <c r="S9" s="113">
        <v>17</v>
      </c>
      <c r="T9" s="113">
        <v>18</v>
      </c>
      <c r="U9" s="113">
        <v>19</v>
      </c>
      <c r="V9" s="113">
        <v>20</v>
      </c>
      <c r="W9" s="113">
        <v>21</v>
      </c>
      <c r="X9" s="113">
        <v>22</v>
      </c>
      <c r="Y9" s="113">
        <v>23</v>
      </c>
      <c r="Z9" s="114">
        <v>24</v>
      </c>
    </row>
    <row r="10" spans="1:26" ht="14.25" customHeight="1">
      <c r="A10" s="143" t="s">
        <v>162</v>
      </c>
      <c r="B10" s="97" t="s">
        <v>163</v>
      </c>
      <c r="C10" s="97">
        <v>5</v>
      </c>
      <c r="D10" s="97">
        <v>5</v>
      </c>
      <c r="E10" s="97">
        <v>5</v>
      </c>
      <c r="F10" s="97">
        <v>5</v>
      </c>
      <c r="G10" s="97">
        <v>5</v>
      </c>
      <c r="H10" s="97">
        <v>5</v>
      </c>
      <c r="I10" s="97">
        <v>5</v>
      </c>
      <c r="J10" s="97">
        <v>10</v>
      </c>
      <c r="K10" s="97">
        <v>50</v>
      </c>
      <c r="L10" s="97">
        <v>90</v>
      </c>
      <c r="M10" s="97">
        <v>90</v>
      </c>
      <c r="N10" s="97">
        <v>90</v>
      </c>
      <c r="O10" s="97">
        <v>90</v>
      </c>
      <c r="P10" s="97">
        <v>80</v>
      </c>
      <c r="Q10" s="97">
        <v>90</v>
      </c>
      <c r="R10" s="97">
        <v>90</v>
      </c>
      <c r="S10" s="97">
        <v>90</v>
      </c>
      <c r="T10" s="97">
        <v>80</v>
      </c>
      <c r="U10" s="97">
        <v>50</v>
      </c>
      <c r="V10" s="97">
        <v>30</v>
      </c>
      <c r="W10" s="97">
        <v>20</v>
      </c>
      <c r="X10" s="97">
        <v>5</v>
      </c>
      <c r="Y10" s="97">
        <v>5</v>
      </c>
      <c r="Z10" s="109">
        <v>5</v>
      </c>
    </row>
    <row r="11" spans="1:26">
      <c r="A11" s="141"/>
      <c r="B11" s="98" t="s">
        <v>164</v>
      </c>
      <c r="C11" s="98">
        <v>5</v>
      </c>
      <c r="D11" s="98">
        <v>5</v>
      </c>
      <c r="E11" s="98">
        <v>5</v>
      </c>
      <c r="F11" s="98">
        <v>5</v>
      </c>
      <c r="G11" s="98">
        <v>5</v>
      </c>
      <c r="H11" s="98">
        <v>5</v>
      </c>
      <c r="I11" s="98">
        <v>5</v>
      </c>
      <c r="J11" s="98">
        <v>10</v>
      </c>
      <c r="K11" s="98">
        <v>50</v>
      </c>
      <c r="L11" s="98">
        <v>100</v>
      </c>
      <c r="M11" s="98">
        <v>100</v>
      </c>
      <c r="N11" s="98">
        <v>100</v>
      </c>
      <c r="O11" s="98">
        <v>100</v>
      </c>
      <c r="P11" s="98">
        <v>90</v>
      </c>
      <c r="Q11" s="98">
        <v>100</v>
      </c>
      <c r="R11" s="98">
        <v>100</v>
      </c>
      <c r="S11" s="98">
        <v>100</v>
      </c>
      <c r="T11" s="98">
        <v>80</v>
      </c>
      <c r="U11" s="98">
        <v>50</v>
      </c>
      <c r="V11" s="98">
        <v>30</v>
      </c>
      <c r="W11" s="98">
        <v>20</v>
      </c>
      <c r="X11" s="98">
        <v>5</v>
      </c>
      <c r="Y11" s="98">
        <v>5</v>
      </c>
      <c r="Z11" s="104">
        <v>5</v>
      </c>
    </row>
    <row r="12" spans="1:26">
      <c r="A12" s="141"/>
      <c r="B12" s="98" t="s">
        <v>156</v>
      </c>
      <c r="C12" s="98">
        <v>10</v>
      </c>
      <c r="D12" s="98">
        <v>10</v>
      </c>
      <c r="E12" s="98">
        <v>10</v>
      </c>
      <c r="F12" s="98">
        <v>10</v>
      </c>
      <c r="G12" s="98">
        <v>10</v>
      </c>
      <c r="H12" s="98">
        <v>10</v>
      </c>
      <c r="I12" s="98">
        <v>10</v>
      </c>
      <c r="J12" s="98">
        <v>15</v>
      </c>
      <c r="K12" s="98">
        <v>50</v>
      </c>
      <c r="L12" s="98">
        <v>100</v>
      </c>
      <c r="M12" s="98">
        <v>100</v>
      </c>
      <c r="N12" s="98">
        <v>100</v>
      </c>
      <c r="O12" s="98">
        <v>100</v>
      </c>
      <c r="P12" s="98">
        <v>80</v>
      </c>
      <c r="Q12" s="98">
        <v>100</v>
      </c>
      <c r="R12" s="98">
        <v>100</v>
      </c>
      <c r="S12" s="98">
        <v>100</v>
      </c>
      <c r="T12" s="98">
        <v>60</v>
      </c>
      <c r="U12" s="98">
        <v>40</v>
      </c>
      <c r="V12" s="98">
        <v>20</v>
      </c>
      <c r="W12" s="98">
        <v>15</v>
      </c>
      <c r="X12" s="98">
        <v>10</v>
      </c>
      <c r="Y12" s="98">
        <v>10</v>
      </c>
      <c r="Z12" s="104">
        <v>10</v>
      </c>
    </row>
    <row r="13" spans="1:26">
      <c r="A13" s="141"/>
      <c r="B13" s="99" t="s">
        <v>157</v>
      </c>
      <c r="C13" s="99">
        <v>0</v>
      </c>
      <c r="D13" s="99">
        <v>0</v>
      </c>
      <c r="E13" s="99">
        <v>0</v>
      </c>
      <c r="F13" s="99">
        <v>0</v>
      </c>
      <c r="G13" s="99">
        <v>0</v>
      </c>
      <c r="H13" s="99">
        <v>0</v>
      </c>
      <c r="I13" s="99">
        <v>0</v>
      </c>
      <c r="J13" s="99">
        <v>5</v>
      </c>
      <c r="K13" s="99">
        <v>40</v>
      </c>
      <c r="L13" s="99">
        <v>95</v>
      </c>
      <c r="M13" s="99">
        <v>95</v>
      </c>
      <c r="N13" s="99">
        <v>95</v>
      </c>
      <c r="O13" s="99">
        <v>95</v>
      </c>
      <c r="P13" s="99">
        <v>45</v>
      </c>
      <c r="Q13" s="99">
        <v>95</v>
      </c>
      <c r="R13" s="99">
        <v>95</v>
      </c>
      <c r="S13" s="99">
        <v>95</v>
      </c>
      <c r="T13" s="99">
        <v>50</v>
      </c>
      <c r="U13" s="99">
        <v>25</v>
      </c>
      <c r="V13" s="99">
        <v>10</v>
      </c>
      <c r="W13" s="99">
        <v>5</v>
      </c>
      <c r="X13" s="99">
        <v>0</v>
      </c>
      <c r="Y13" s="99">
        <v>0</v>
      </c>
      <c r="Z13" s="105">
        <v>0</v>
      </c>
    </row>
    <row r="14" spans="1:26">
      <c r="A14" s="141"/>
      <c r="B14" s="100" t="s">
        <v>165</v>
      </c>
      <c r="C14" s="144">
        <v>0.5</v>
      </c>
      <c r="D14" s="144"/>
      <c r="E14" s="144"/>
      <c r="F14" s="144"/>
      <c r="G14" s="144"/>
      <c r="H14" s="144"/>
      <c r="I14" s="144"/>
      <c r="J14" s="144"/>
      <c r="K14" s="144">
        <v>0.1</v>
      </c>
      <c r="L14" s="144"/>
      <c r="M14" s="144"/>
      <c r="N14" s="144"/>
      <c r="O14" s="144"/>
      <c r="P14" s="144"/>
      <c r="Q14" s="144"/>
      <c r="R14" s="144"/>
      <c r="S14" s="144"/>
      <c r="T14" s="144"/>
      <c r="U14" s="144"/>
      <c r="V14" s="144">
        <v>0.5</v>
      </c>
      <c r="W14" s="144"/>
      <c r="X14" s="144"/>
      <c r="Y14" s="144"/>
      <c r="Z14" s="145"/>
    </row>
    <row r="15" spans="1:26">
      <c r="A15" s="141"/>
      <c r="B15" s="110" t="s">
        <v>166</v>
      </c>
      <c r="C15" s="146" t="s">
        <v>159</v>
      </c>
      <c r="D15" s="146"/>
      <c r="E15" s="146"/>
      <c r="F15" s="146"/>
      <c r="G15" s="146"/>
      <c r="H15" s="146"/>
      <c r="I15" s="146"/>
      <c r="J15" s="146"/>
      <c r="K15" s="146" t="s">
        <v>167</v>
      </c>
      <c r="L15" s="146"/>
      <c r="M15" s="146"/>
      <c r="N15" s="146"/>
      <c r="O15" s="146"/>
      <c r="P15" s="146"/>
      <c r="Q15" s="146"/>
      <c r="R15" s="146"/>
      <c r="S15" s="146"/>
      <c r="T15" s="146"/>
      <c r="U15" s="146"/>
      <c r="V15" s="146" t="s">
        <v>159</v>
      </c>
      <c r="W15" s="146"/>
      <c r="X15" s="146"/>
      <c r="Y15" s="146"/>
      <c r="Z15" s="147"/>
    </row>
    <row r="16" spans="1:26">
      <c r="A16" s="141"/>
      <c r="B16" s="100" t="s">
        <v>158</v>
      </c>
      <c r="C16" s="150" t="s">
        <v>159</v>
      </c>
      <c r="D16" s="150"/>
      <c r="E16" s="150"/>
      <c r="F16" s="150"/>
      <c r="G16" s="150"/>
      <c r="H16" s="150"/>
      <c r="I16" s="150"/>
      <c r="J16" s="150">
        <v>23</v>
      </c>
      <c r="K16" s="150"/>
      <c r="L16" s="150"/>
      <c r="M16" s="150"/>
      <c r="N16" s="150"/>
      <c r="O16" s="150"/>
      <c r="P16" s="150"/>
      <c r="Q16" s="150"/>
      <c r="R16" s="150"/>
      <c r="S16" s="150"/>
      <c r="T16" s="150"/>
      <c r="U16" s="150"/>
      <c r="V16" s="150"/>
      <c r="W16" s="150"/>
      <c r="X16" s="150" t="s">
        <v>159</v>
      </c>
      <c r="Y16" s="150"/>
      <c r="Z16" s="151"/>
    </row>
    <row r="17" spans="1:26" ht="14.65" thickBot="1">
      <c r="A17" s="142"/>
      <c r="B17" s="100" t="s">
        <v>160</v>
      </c>
      <c r="C17" s="148" t="s">
        <v>159</v>
      </c>
      <c r="D17" s="148"/>
      <c r="E17" s="148"/>
      <c r="F17" s="148"/>
      <c r="G17" s="148"/>
      <c r="H17" s="148"/>
      <c r="I17" s="148"/>
      <c r="J17" s="148">
        <v>20</v>
      </c>
      <c r="K17" s="148"/>
      <c r="L17" s="148"/>
      <c r="M17" s="148"/>
      <c r="N17" s="148"/>
      <c r="O17" s="148"/>
      <c r="P17" s="148"/>
      <c r="Q17" s="148"/>
      <c r="R17" s="148"/>
      <c r="S17" s="148"/>
      <c r="T17" s="148"/>
      <c r="U17" s="148"/>
      <c r="V17" s="148"/>
      <c r="W17" s="148"/>
      <c r="X17" s="148" t="s">
        <v>159</v>
      </c>
      <c r="Y17" s="148"/>
      <c r="Z17" s="149"/>
    </row>
    <row r="18" spans="1:26" ht="14.25" customHeight="1">
      <c r="A18" s="143" t="s">
        <v>168</v>
      </c>
      <c r="B18" s="97" t="s">
        <v>163</v>
      </c>
      <c r="C18" s="97">
        <v>5</v>
      </c>
      <c r="D18" s="97">
        <v>5</v>
      </c>
      <c r="E18" s="97">
        <v>5</v>
      </c>
      <c r="F18" s="97">
        <v>5</v>
      </c>
      <c r="G18" s="97">
        <v>5</v>
      </c>
      <c r="H18" s="97">
        <v>5</v>
      </c>
      <c r="I18" s="97">
        <v>5</v>
      </c>
      <c r="J18" s="97">
        <v>10</v>
      </c>
      <c r="K18" s="97">
        <v>50</v>
      </c>
      <c r="L18" s="97">
        <v>75</v>
      </c>
      <c r="M18" s="97">
        <v>75</v>
      </c>
      <c r="N18" s="97">
        <v>75</v>
      </c>
      <c r="O18" s="97">
        <v>75</v>
      </c>
      <c r="P18" s="97">
        <v>20</v>
      </c>
      <c r="Q18" s="97">
        <v>20</v>
      </c>
      <c r="R18" s="97">
        <v>20</v>
      </c>
      <c r="S18" s="97">
        <v>20</v>
      </c>
      <c r="T18" s="97">
        <v>10</v>
      </c>
      <c r="U18" s="97">
        <v>5</v>
      </c>
      <c r="V18" s="97">
        <v>5</v>
      </c>
      <c r="W18" s="97">
        <v>5</v>
      </c>
      <c r="X18" s="97">
        <v>5</v>
      </c>
      <c r="Y18" s="97">
        <v>5</v>
      </c>
      <c r="Z18" s="109">
        <v>5</v>
      </c>
    </row>
    <row r="19" spans="1:26">
      <c r="A19" s="141"/>
      <c r="B19" s="98" t="s">
        <v>164</v>
      </c>
      <c r="C19" s="98">
        <v>5</v>
      </c>
      <c r="D19" s="98">
        <v>5</v>
      </c>
      <c r="E19" s="98">
        <v>5</v>
      </c>
      <c r="F19" s="98">
        <v>5</v>
      </c>
      <c r="G19" s="98">
        <v>5</v>
      </c>
      <c r="H19" s="98">
        <v>5</v>
      </c>
      <c r="I19" s="98">
        <v>5</v>
      </c>
      <c r="J19" s="98">
        <v>10</v>
      </c>
      <c r="K19" s="98">
        <v>50</v>
      </c>
      <c r="L19" s="98">
        <v>80</v>
      </c>
      <c r="M19" s="98">
        <v>80</v>
      </c>
      <c r="N19" s="98">
        <v>80</v>
      </c>
      <c r="O19" s="98">
        <v>80</v>
      </c>
      <c r="P19" s="98">
        <v>20</v>
      </c>
      <c r="Q19" s="98">
        <v>20</v>
      </c>
      <c r="R19" s="98">
        <v>20</v>
      </c>
      <c r="S19" s="98">
        <v>20</v>
      </c>
      <c r="T19" s="98">
        <v>10</v>
      </c>
      <c r="U19" s="98">
        <v>5</v>
      </c>
      <c r="V19" s="98">
        <v>5</v>
      </c>
      <c r="W19" s="98">
        <v>5</v>
      </c>
      <c r="X19" s="98">
        <v>5</v>
      </c>
      <c r="Y19" s="98">
        <v>5</v>
      </c>
      <c r="Z19" s="104">
        <v>5</v>
      </c>
    </row>
    <row r="20" spans="1:26">
      <c r="A20" s="141"/>
      <c r="B20" s="98" t="s">
        <v>156</v>
      </c>
      <c r="C20" s="98">
        <v>5</v>
      </c>
      <c r="D20" s="98">
        <v>5</v>
      </c>
      <c r="E20" s="98">
        <v>5</v>
      </c>
      <c r="F20" s="98">
        <v>5</v>
      </c>
      <c r="G20" s="98">
        <v>5</v>
      </c>
      <c r="H20" s="98">
        <v>5</v>
      </c>
      <c r="I20" s="98">
        <v>5</v>
      </c>
      <c r="J20" s="98">
        <v>100</v>
      </c>
      <c r="K20" s="98">
        <v>100</v>
      </c>
      <c r="L20" s="98">
        <v>100</v>
      </c>
      <c r="M20" s="98">
        <v>100</v>
      </c>
      <c r="N20" s="98">
        <v>100</v>
      </c>
      <c r="O20" s="98">
        <v>100</v>
      </c>
      <c r="P20" s="98">
        <v>20</v>
      </c>
      <c r="Q20" s="98">
        <v>20</v>
      </c>
      <c r="R20" s="98">
        <v>20</v>
      </c>
      <c r="S20" s="98">
        <v>20</v>
      </c>
      <c r="T20" s="98">
        <v>10</v>
      </c>
      <c r="U20" s="98">
        <v>5</v>
      </c>
      <c r="V20" s="98">
        <v>5</v>
      </c>
      <c r="W20" s="98">
        <v>5</v>
      </c>
      <c r="X20" s="98">
        <v>5</v>
      </c>
      <c r="Y20" s="98">
        <v>5</v>
      </c>
      <c r="Z20" s="104">
        <v>5</v>
      </c>
    </row>
    <row r="21" spans="1:26">
      <c r="A21" s="141"/>
      <c r="B21" s="99" t="s">
        <v>157</v>
      </c>
      <c r="C21" s="99">
        <v>0</v>
      </c>
      <c r="D21" s="99">
        <v>0</v>
      </c>
      <c r="E21" s="99">
        <v>0</v>
      </c>
      <c r="F21" s="99">
        <v>0</v>
      </c>
      <c r="G21" s="99">
        <v>0</v>
      </c>
      <c r="H21" s="99">
        <v>0</v>
      </c>
      <c r="I21" s="99">
        <v>0</v>
      </c>
      <c r="J21" s="99">
        <v>5</v>
      </c>
      <c r="K21" s="99">
        <v>30</v>
      </c>
      <c r="L21" s="99">
        <v>60</v>
      </c>
      <c r="M21" s="99">
        <v>60</v>
      </c>
      <c r="N21" s="99">
        <v>60</v>
      </c>
      <c r="O21" s="99">
        <v>60</v>
      </c>
      <c r="P21" s="99">
        <v>10</v>
      </c>
      <c r="Q21" s="99">
        <v>10</v>
      </c>
      <c r="R21" s="99">
        <v>10</v>
      </c>
      <c r="S21" s="99">
        <v>10</v>
      </c>
      <c r="T21" s="99">
        <v>5</v>
      </c>
      <c r="U21" s="99">
        <v>0</v>
      </c>
      <c r="V21" s="99">
        <v>0</v>
      </c>
      <c r="W21" s="99">
        <v>0</v>
      </c>
      <c r="X21" s="99">
        <v>0</v>
      </c>
      <c r="Y21" s="99">
        <v>0</v>
      </c>
      <c r="Z21" s="105">
        <v>0</v>
      </c>
    </row>
    <row r="22" spans="1:26">
      <c r="A22" s="141"/>
      <c r="B22" s="100" t="s">
        <v>165</v>
      </c>
      <c r="C22" s="144">
        <v>0.5</v>
      </c>
      <c r="D22" s="144"/>
      <c r="E22" s="144"/>
      <c r="F22" s="144"/>
      <c r="G22" s="144"/>
      <c r="H22" s="144"/>
      <c r="I22" s="144"/>
      <c r="J22" s="144"/>
      <c r="K22" s="144">
        <v>0.1</v>
      </c>
      <c r="L22" s="144"/>
      <c r="M22" s="144"/>
      <c r="N22" s="144"/>
      <c r="O22" s="144"/>
      <c r="P22" s="144">
        <v>0.5</v>
      </c>
      <c r="Q22" s="144"/>
      <c r="R22" s="144"/>
      <c r="S22" s="144"/>
      <c r="T22" s="144"/>
      <c r="U22" s="144"/>
      <c r="V22" s="144"/>
      <c r="W22" s="144"/>
      <c r="X22" s="144"/>
      <c r="Y22" s="144"/>
      <c r="Z22" s="145"/>
    </row>
    <row r="23" spans="1:26">
      <c r="A23" s="141"/>
      <c r="B23" s="110" t="s">
        <v>166</v>
      </c>
      <c r="C23" s="146" t="s">
        <v>159</v>
      </c>
      <c r="D23" s="146"/>
      <c r="E23" s="146"/>
      <c r="F23" s="146"/>
      <c r="G23" s="146"/>
      <c r="H23" s="146"/>
      <c r="I23" s="146"/>
      <c r="J23" s="146"/>
      <c r="K23" s="146" t="s">
        <v>167</v>
      </c>
      <c r="L23" s="146"/>
      <c r="M23" s="146"/>
      <c r="N23" s="146"/>
      <c r="O23" s="146"/>
      <c r="P23" s="146" t="s">
        <v>159</v>
      </c>
      <c r="Q23" s="146"/>
      <c r="R23" s="146"/>
      <c r="S23" s="146"/>
      <c r="T23" s="146"/>
      <c r="U23" s="146"/>
      <c r="V23" s="146"/>
      <c r="W23" s="146"/>
      <c r="X23" s="146"/>
      <c r="Y23" s="146"/>
      <c r="Z23" s="147"/>
    </row>
    <row r="24" spans="1:26">
      <c r="A24" s="141"/>
      <c r="B24" s="100" t="s">
        <v>158</v>
      </c>
      <c r="C24" s="150" t="s">
        <v>159</v>
      </c>
      <c r="D24" s="150"/>
      <c r="E24" s="150"/>
      <c r="F24" s="150"/>
      <c r="G24" s="150"/>
      <c r="H24" s="150"/>
      <c r="I24" s="150"/>
      <c r="J24" s="144">
        <v>23</v>
      </c>
      <c r="K24" s="144"/>
      <c r="L24" s="144"/>
      <c r="M24" s="144"/>
      <c r="N24" s="144"/>
      <c r="O24" s="144"/>
      <c r="P24" s="144"/>
      <c r="Q24" s="144"/>
      <c r="R24" s="144"/>
      <c r="S24" s="144"/>
      <c r="T24" s="144"/>
      <c r="U24" s="144" t="s">
        <v>159</v>
      </c>
      <c r="V24" s="144"/>
      <c r="W24" s="144"/>
      <c r="X24" s="144"/>
      <c r="Y24" s="144"/>
      <c r="Z24" s="145"/>
    </row>
    <row r="25" spans="1:26" ht="14.65" thickBot="1">
      <c r="A25" s="142"/>
      <c r="B25" s="100" t="s">
        <v>160</v>
      </c>
      <c r="C25" s="148" t="s">
        <v>159</v>
      </c>
      <c r="D25" s="148"/>
      <c r="E25" s="148"/>
      <c r="F25" s="148"/>
      <c r="G25" s="148"/>
      <c r="H25" s="148"/>
      <c r="I25" s="148"/>
      <c r="J25" s="148">
        <v>20</v>
      </c>
      <c r="K25" s="148"/>
      <c r="L25" s="148"/>
      <c r="M25" s="148"/>
      <c r="N25" s="148"/>
      <c r="O25" s="148"/>
      <c r="P25" s="148"/>
      <c r="Q25" s="148"/>
      <c r="R25" s="148"/>
      <c r="S25" s="148"/>
      <c r="T25" s="148"/>
      <c r="U25" s="107"/>
      <c r="V25" s="107"/>
      <c r="W25" s="107"/>
      <c r="X25" s="107" t="s">
        <v>159</v>
      </c>
      <c r="Y25" s="107"/>
      <c r="Z25" s="108"/>
    </row>
    <row r="26" spans="1:26" ht="14.25" customHeight="1">
      <c r="A26" s="143" t="s">
        <v>169</v>
      </c>
      <c r="B26" s="97" t="s">
        <v>163</v>
      </c>
      <c r="C26" s="97">
        <v>5</v>
      </c>
      <c r="D26" s="97">
        <v>5</v>
      </c>
      <c r="E26" s="97">
        <v>5</v>
      </c>
      <c r="F26" s="97">
        <v>5</v>
      </c>
      <c r="G26" s="97">
        <v>5</v>
      </c>
      <c r="H26" s="97">
        <v>5</v>
      </c>
      <c r="I26" s="97">
        <v>5</v>
      </c>
      <c r="J26" s="97">
        <v>5</v>
      </c>
      <c r="K26" s="97">
        <v>5</v>
      </c>
      <c r="L26" s="97">
        <v>10</v>
      </c>
      <c r="M26" s="97">
        <v>10</v>
      </c>
      <c r="N26" s="97">
        <v>10</v>
      </c>
      <c r="O26" s="97">
        <v>10</v>
      </c>
      <c r="P26" s="97">
        <v>10</v>
      </c>
      <c r="Q26" s="97">
        <v>10</v>
      </c>
      <c r="R26" s="97">
        <v>10</v>
      </c>
      <c r="S26" s="97">
        <v>10</v>
      </c>
      <c r="T26" s="97">
        <v>5</v>
      </c>
      <c r="U26" s="97">
        <v>5</v>
      </c>
      <c r="V26" s="97">
        <v>5</v>
      </c>
      <c r="W26" s="97">
        <v>5</v>
      </c>
      <c r="X26" s="97">
        <v>5</v>
      </c>
      <c r="Y26" s="97">
        <v>5</v>
      </c>
      <c r="Z26" s="109">
        <v>5</v>
      </c>
    </row>
    <row r="27" spans="1:26">
      <c r="A27" s="141"/>
      <c r="B27" s="98" t="s">
        <v>164</v>
      </c>
      <c r="C27" s="98">
        <v>5</v>
      </c>
      <c r="D27" s="98">
        <v>5</v>
      </c>
      <c r="E27" s="98">
        <v>5</v>
      </c>
      <c r="F27" s="98">
        <v>5</v>
      </c>
      <c r="G27" s="98">
        <v>5</v>
      </c>
      <c r="H27" s="98">
        <v>5</v>
      </c>
      <c r="I27" s="98">
        <v>5</v>
      </c>
      <c r="J27" s="98">
        <v>5</v>
      </c>
      <c r="K27" s="98">
        <v>5</v>
      </c>
      <c r="L27" s="98">
        <v>10</v>
      </c>
      <c r="M27" s="98">
        <v>10</v>
      </c>
      <c r="N27" s="98">
        <v>10</v>
      </c>
      <c r="O27" s="98">
        <v>10</v>
      </c>
      <c r="P27" s="98">
        <v>10</v>
      </c>
      <c r="Q27" s="98">
        <v>10</v>
      </c>
      <c r="R27" s="98">
        <v>10</v>
      </c>
      <c r="S27" s="98">
        <v>10</v>
      </c>
      <c r="T27" s="98">
        <v>5</v>
      </c>
      <c r="U27" s="98">
        <v>5</v>
      </c>
      <c r="V27" s="98">
        <v>5</v>
      </c>
      <c r="W27" s="98">
        <v>5</v>
      </c>
      <c r="X27" s="98">
        <v>5</v>
      </c>
      <c r="Y27" s="98">
        <v>5</v>
      </c>
      <c r="Z27" s="104">
        <v>5</v>
      </c>
    </row>
    <row r="28" spans="1:26">
      <c r="A28" s="141"/>
      <c r="B28" s="98" t="s">
        <v>156</v>
      </c>
      <c r="C28" s="98">
        <v>5</v>
      </c>
      <c r="D28" s="98">
        <v>5</v>
      </c>
      <c r="E28" s="98">
        <v>5</v>
      </c>
      <c r="F28" s="98">
        <v>5</v>
      </c>
      <c r="G28" s="98">
        <v>5</v>
      </c>
      <c r="H28" s="98">
        <v>5</v>
      </c>
      <c r="I28" s="98">
        <v>5</v>
      </c>
      <c r="J28" s="98">
        <v>5</v>
      </c>
      <c r="K28" s="98">
        <v>5</v>
      </c>
      <c r="L28" s="98">
        <v>10</v>
      </c>
      <c r="M28" s="98">
        <v>10</v>
      </c>
      <c r="N28" s="98">
        <v>10</v>
      </c>
      <c r="O28" s="98">
        <v>10</v>
      </c>
      <c r="P28" s="98">
        <v>10</v>
      </c>
      <c r="Q28" s="98">
        <v>10</v>
      </c>
      <c r="R28" s="98">
        <v>10</v>
      </c>
      <c r="S28" s="98">
        <v>10</v>
      </c>
      <c r="T28" s="98">
        <v>5</v>
      </c>
      <c r="U28" s="98">
        <v>5</v>
      </c>
      <c r="V28" s="98">
        <v>5</v>
      </c>
      <c r="W28" s="98">
        <v>5</v>
      </c>
      <c r="X28" s="98">
        <v>5</v>
      </c>
      <c r="Y28" s="98">
        <v>5</v>
      </c>
      <c r="Z28" s="104">
        <v>5</v>
      </c>
    </row>
    <row r="29" spans="1:26">
      <c r="A29" s="141"/>
      <c r="B29" s="99" t="s">
        <v>157</v>
      </c>
      <c r="C29" s="99">
        <v>0</v>
      </c>
      <c r="D29" s="99">
        <v>0</v>
      </c>
      <c r="E29" s="99">
        <v>0</v>
      </c>
      <c r="F29" s="99">
        <v>0</v>
      </c>
      <c r="G29" s="99">
        <v>0</v>
      </c>
      <c r="H29" s="99">
        <v>0</v>
      </c>
      <c r="I29" s="99">
        <v>0</v>
      </c>
      <c r="J29" s="99">
        <v>0</v>
      </c>
      <c r="K29" s="99">
        <v>0</v>
      </c>
      <c r="L29" s="99">
        <v>5</v>
      </c>
      <c r="M29" s="99">
        <v>5</v>
      </c>
      <c r="N29" s="99">
        <v>5</v>
      </c>
      <c r="O29" s="99">
        <v>5</v>
      </c>
      <c r="P29" s="99">
        <v>5</v>
      </c>
      <c r="Q29" s="99">
        <v>5</v>
      </c>
      <c r="R29" s="99">
        <v>5</v>
      </c>
      <c r="S29" s="99">
        <v>5</v>
      </c>
      <c r="T29" s="99">
        <v>0</v>
      </c>
      <c r="U29" s="99">
        <v>0</v>
      </c>
      <c r="V29" s="99">
        <v>0</v>
      </c>
      <c r="W29" s="99">
        <v>0</v>
      </c>
      <c r="X29" s="99">
        <v>0</v>
      </c>
      <c r="Y29" s="99">
        <v>0</v>
      </c>
      <c r="Z29" s="105">
        <v>0</v>
      </c>
    </row>
    <row r="30" spans="1:26">
      <c r="A30" s="141"/>
      <c r="B30" s="100" t="s">
        <v>165</v>
      </c>
      <c r="C30" s="144">
        <v>0.5</v>
      </c>
      <c r="D30" s="144"/>
      <c r="E30" s="144"/>
      <c r="F30" s="144"/>
      <c r="G30" s="144"/>
      <c r="H30" s="144"/>
      <c r="I30" s="144"/>
      <c r="J30" s="144"/>
      <c r="K30" s="144"/>
      <c r="L30" s="144"/>
      <c r="M30" s="144"/>
      <c r="N30" s="144"/>
      <c r="O30" s="144"/>
      <c r="P30" s="144"/>
      <c r="Q30" s="144"/>
      <c r="R30" s="144"/>
      <c r="S30" s="144"/>
      <c r="T30" s="144"/>
      <c r="U30" s="144"/>
      <c r="V30" s="144"/>
      <c r="W30" s="144"/>
      <c r="X30" s="144"/>
      <c r="Y30" s="144"/>
      <c r="Z30" s="145"/>
    </row>
    <row r="31" spans="1:26">
      <c r="A31" s="141"/>
      <c r="B31" s="110" t="s">
        <v>166</v>
      </c>
      <c r="C31" s="146" t="s">
        <v>159</v>
      </c>
      <c r="D31" s="146"/>
      <c r="E31" s="146"/>
      <c r="F31" s="146"/>
      <c r="G31" s="146"/>
      <c r="H31" s="146"/>
      <c r="I31" s="146"/>
      <c r="J31" s="146"/>
      <c r="K31" s="146"/>
      <c r="L31" s="146"/>
      <c r="M31" s="146"/>
      <c r="N31" s="146"/>
      <c r="O31" s="146"/>
      <c r="P31" s="146"/>
      <c r="Q31" s="146"/>
      <c r="R31" s="146"/>
      <c r="S31" s="146"/>
      <c r="T31" s="146"/>
      <c r="U31" s="146"/>
      <c r="V31" s="146"/>
      <c r="W31" s="146"/>
      <c r="X31" s="146"/>
      <c r="Y31" s="146"/>
      <c r="Z31" s="147"/>
    </row>
    <row r="32" spans="1:26">
      <c r="A32" s="141"/>
      <c r="B32" s="100" t="s">
        <v>158</v>
      </c>
      <c r="C32" s="144" t="s">
        <v>159</v>
      </c>
      <c r="D32" s="144"/>
      <c r="E32" s="144"/>
      <c r="F32" s="144"/>
      <c r="G32" s="144"/>
      <c r="H32" s="144"/>
      <c r="I32" s="144"/>
      <c r="J32" s="144"/>
      <c r="K32" s="144"/>
      <c r="L32" s="144">
        <v>23</v>
      </c>
      <c r="M32" s="144"/>
      <c r="N32" s="144"/>
      <c r="O32" s="144"/>
      <c r="P32" s="144"/>
      <c r="Q32" s="144"/>
      <c r="R32" s="144"/>
      <c r="S32" s="144"/>
      <c r="T32" s="144" t="s">
        <v>159</v>
      </c>
      <c r="U32" s="144"/>
      <c r="V32" s="144"/>
      <c r="W32" s="144"/>
      <c r="X32" s="144"/>
      <c r="Y32" s="144"/>
      <c r="Z32" s="145"/>
    </row>
    <row r="33" spans="1:26" ht="14.65" thickBot="1">
      <c r="A33" s="142"/>
      <c r="B33" s="100" t="s">
        <v>160</v>
      </c>
      <c r="C33" s="148" t="s">
        <v>159</v>
      </c>
      <c r="D33" s="148"/>
      <c r="E33" s="148"/>
      <c r="F33" s="148"/>
      <c r="G33" s="148"/>
      <c r="H33" s="148"/>
      <c r="I33" s="148"/>
      <c r="J33" s="148"/>
      <c r="K33" s="148"/>
      <c r="L33" s="148">
        <v>20</v>
      </c>
      <c r="M33" s="148"/>
      <c r="N33" s="148"/>
      <c r="O33" s="148"/>
      <c r="P33" s="148"/>
      <c r="Q33" s="148"/>
      <c r="R33" s="148"/>
      <c r="S33" s="148"/>
      <c r="T33" s="148" t="s">
        <v>159</v>
      </c>
      <c r="U33" s="148"/>
      <c r="V33" s="148"/>
      <c r="W33" s="148"/>
      <c r="X33" s="148"/>
      <c r="Y33" s="148"/>
      <c r="Z33" s="149"/>
    </row>
    <row r="34" spans="1:26" s="95" customFormat="1" ht="16.149999999999999" thickBot="1">
      <c r="A34" s="111" t="s">
        <v>77</v>
      </c>
      <c r="B34" s="112" t="s">
        <v>175</v>
      </c>
      <c r="C34" s="113">
        <v>1</v>
      </c>
      <c r="D34" s="113">
        <v>2</v>
      </c>
      <c r="E34" s="113">
        <v>3</v>
      </c>
      <c r="F34" s="113">
        <v>4</v>
      </c>
      <c r="G34" s="113">
        <v>5</v>
      </c>
      <c r="H34" s="113">
        <v>6</v>
      </c>
      <c r="I34" s="113">
        <v>7</v>
      </c>
      <c r="J34" s="113">
        <v>8</v>
      </c>
      <c r="K34" s="113">
        <v>9</v>
      </c>
      <c r="L34" s="113">
        <v>10</v>
      </c>
      <c r="M34" s="113">
        <v>11</v>
      </c>
      <c r="N34" s="113">
        <v>12</v>
      </c>
      <c r="O34" s="113">
        <v>13</v>
      </c>
      <c r="P34" s="113">
        <v>14</v>
      </c>
      <c r="Q34" s="113">
        <v>15</v>
      </c>
      <c r="R34" s="113">
        <v>16</v>
      </c>
      <c r="S34" s="113">
        <v>17</v>
      </c>
      <c r="T34" s="113">
        <v>18</v>
      </c>
      <c r="U34" s="113">
        <v>19</v>
      </c>
      <c r="V34" s="113">
        <v>20</v>
      </c>
      <c r="W34" s="113">
        <v>21</v>
      </c>
      <c r="X34" s="113">
        <v>22</v>
      </c>
      <c r="Y34" s="113">
        <v>23</v>
      </c>
      <c r="Z34" s="114">
        <v>24</v>
      </c>
    </row>
    <row r="35" spans="1:26">
      <c r="A35" s="143" t="s">
        <v>42</v>
      </c>
      <c r="B35" s="97" t="s">
        <v>155</v>
      </c>
      <c r="C35" s="97">
        <v>20</v>
      </c>
      <c r="D35" s="97">
        <v>20</v>
      </c>
      <c r="E35" s="97">
        <v>20</v>
      </c>
      <c r="F35" s="97">
        <v>20</v>
      </c>
      <c r="G35" s="97">
        <v>20</v>
      </c>
      <c r="H35" s="97">
        <v>20</v>
      </c>
      <c r="I35" s="97">
        <v>20</v>
      </c>
      <c r="J35" s="97">
        <v>20</v>
      </c>
      <c r="K35" s="97">
        <v>35</v>
      </c>
      <c r="L35" s="97">
        <v>35</v>
      </c>
      <c r="M35" s="97">
        <v>35</v>
      </c>
      <c r="N35" s="97">
        <v>35</v>
      </c>
      <c r="O35" s="97">
        <v>35</v>
      </c>
      <c r="P35" s="97">
        <v>35</v>
      </c>
      <c r="Q35" s="97">
        <v>35</v>
      </c>
      <c r="R35" s="97">
        <v>35</v>
      </c>
      <c r="S35" s="97">
        <v>35</v>
      </c>
      <c r="T35" s="97">
        <v>35</v>
      </c>
      <c r="U35" s="97">
        <v>35</v>
      </c>
      <c r="V35" s="97">
        <v>35</v>
      </c>
      <c r="W35" s="97">
        <v>90</v>
      </c>
      <c r="X35" s="97">
        <v>90</v>
      </c>
      <c r="Y35" s="97">
        <v>90</v>
      </c>
      <c r="Z35" s="109">
        <v>90</v>
      </c>
    </row>
    <row r="36" spans="1:26">
      <c r="A36" s="141"/>
      <c r="B36" s="98" t="s">
        <v>156</v>
      </c>
      <c r="C36" s="98">
        <v>30</v>
      </c>
      <c r="D36" s="98">
        <v>30</v>
      </c>
      <c r="E36" s="98">
        <v>30</v>
      </c>
      <c r="F36" s="98">
        <v>30</v>
      </c>
      <c r="G36" s="98">
        <v>30</v>
      </c>
      <c r="H36" s="98">
        <v>30</v>
      </c>
      <c r="I36" s="98">
        <v>30</v>
      </c>
      <c r="J36" s="98">
        <v>30</v>
      </c>
      <c r="K36" s="98">
        <v>35</v>
      </c>
      <c r="L36" s="98">
        <v>35</v>
      </c>
      <c r="M36" s="98">
        <v>35</v>
      </c>
      <c r="N36" s="98">
        <v>35</v>
      </c>
      <c r="O36" s="98">
        <v>35</v>
      </c>
      <c r="P36" s="98">
        <v>35</v>
      </c>
      <c r="Q36" s="98">
        <v>35</v>
      </c>
      <c r="R36" s="98">
        <v>35</v>
      </c>
      <c r="S36" s="98">
        <v>35</v>
      </c>
      <c r="T36" s="98">
        <v>35</v>
      </c>
      <c r="U36" s="98">
        <v>35</v>
      </c>
      <c r="V36" s="98">
        <v>35</v>
      </c>
      <c r="W36" s="98">
        <v>60</v>
      </c>
      <c r="X36" s="98">
        <v>60</v>
      </c>
      <c r="Y36" s="98">
        <v>60</v>
      </c>
      <c r="Z36" s="104">
        <v>60</v>
      </c>
    </row>
    <row r="37" spans="1:26">
      <c r="A37" s="141"/>
      <c r="B37" s="99" t="s">
        <v>157</v>
      </c>
      <c r="C37" s="99">
        <v>95</v>
      </c>
      <c r="D37" s="99">
        <v>95</v>
      </c>
      <c r="E37" s="99">
        <v>95</v>
      </c>
      <c r="F37" s="99">
        <v>95</v>
      </c>
      <c r="G37" s="99">
        <v>95</v>
      </c>
      <c r="H37" s="99">
        <v>95</v>
      </c>
      <c r="I37" s="99">
        <v>95</v>
      </c>
      <c r="J37" s="99">
        <v>95</v>
      </c>
      <c r="K37" s="99">
        <v>20</v>
      </c>
      <c r="L37" s="99">
        <v>20</v>
      </c>
      <c r="M37" s="99">
        <v>20</v>
      </c>
      <c r="N37" s="99">
        <v>20</v>
      </c>
      <c r="O37" s="99">
        <v>20</v>
      </c>
      <c r="P37" s="99">
        <v>20</v>
      </c>
      <c r="Q37" s="99">
        <v>20</v>
      </c>
      <c r="R37" s="99">
        <v>20</v>
      </c>
      <c r="S37" s="99">
        <v>20</v>
      </c>
      <c r="T37" s="99">
        <v>20</v>
      </c>
      <c r="U37" s="99">
        <v>20</v>
      </c>
      <c r="V37" s="99">
        <v>20</v>
      </c>
      <c r="W37" s="99">
        <v>95</v>
      </c>
      <c r="X37" s="99">
        <v>95</v>
      </c>
      <c r="Y37" s="99">
        <v>95</v>
      </c>
      <c r="Z37" s="105">
        <v>95</v>
      </c>
    </row>
    <row r="38" spans="1:26">
      <c r="A38" s="141"/>
      <c r="B38" s="100" t="s">
        <v>165</v>
      </c>
      <c r="C38" s="144">
        <v>0.1</v>
      </c>
      <c r="D38" s="144"/>
      <c r="E38" s="144"/>
      <c r="F38" s="144"/>
      <c r="G38" s="144"/>
      <c r="H38" s="144"/>
      <c r="I38" s="144"/>
      <c r="J38" s="144"/>
      <c r="K38" s="144"/>
      <c r="L38" s="144"/>
      <c r="M38" s="144"/>
      <c r="N38" s="144"/>
      <c r="O38" s="144"/>
      <c r="P38" s="144"/>
      <c r="Q38" s="144"/>
      <c r="R38" s="144"/>
      <c r="S38" s="144"/>
      <c r="T38" s="144"/>
      <c r="U38" s="144"/>
      <c r="V38" s="144"/>
      <c r="W38" s="144"/>
      <c r="X38" s="144"/>
      <c r="Y38" s="144"/>
      <c r="Z38" s="145"/>
    </row>
    <row r="39" spans="1:26">
      <c r="A39" s="141"/>
      <c r="B39" s="110" t="s">
        <v>166</v>
      </c>
      <c r="C39" s="146" t="s">
        <v>167</v>
      </c>
      <c r="D39" s="146"/>
      <c r="E39" s="146"/>
      <c r="F39" s="146"/>
      <c r="G39" s="146"/>
      <c r="H39" s="146"/>
      <c r="I39" s="146"/>
      <c r="J39" s="146"/>
      <c r="K39" s="146"/>
      <c r="L39" s="146"/>
      <c r="M39" s="146"/>
      <c r="N39" s="146"/>
      <c r="O39" s="146"/>
      <c r="P39" s="146"/>
      <c r="Q39" s="146"/>
      <c r="R39" s="146"/>
      <c r="S39" s="146"/>
      <c r="T39" s="146"/>
      <c r="U39" s="146"/>
      <c r="V39" s="146"/>
      <c r="W39" s="146"/>
      <c r="X39" s="146"/>
      <c r="Y39" s="146"/>
      <c r="Z39" s="147"/>
    </row>
    <row r="40" spans="1:26">
      <c r="A40" s="141"/>
      <c r="B40" s="100" t="s">
        <v>158</v>
      </c>
      <c r="C40" s="144">
        <v>22</v>
      </c>
      <c r="D40" s="144"/>
      <c r="E40" s="144"/>
      <c r="F40" s="144"/>
      <c r="G40" s="144"/>
      <c r="H40" s="144"/>
      <c r="I40" s="144"/>
      <c r="J40" s="144"/>
      <c r="K40" s="144"/>
      <c r="L40" s="144"/>
      <c r="M40" s="144"/>
      <c r="N40" s="144"/>
      <c r="O40" s="144"/>
      <c r="P40" s="144"/>
      <c r="Q40" s="144"/>
      <c r="R40" s="144"/>
      <c r="S40" s="144"/>
      <c r="T40" s="144"/>
      <c r="U40" s="144"/>
      <c r="V40" s="144"/>
      <c r="W40" s="144"/>
      <c r="X40" s="144"/>
      <c r="Y40" s="144"/>
      <c r="Z40" s="145"/>
    </row>
    <row r="41" spans="1:26" ht="14.65" thickBot="1">
      <c r="A41" s="142"/>
      <c r="B41" s="101" t="s">
        <v>160</v>
      </c>
      <c r="C41" s="148">
        <v>22</v>
      </c>
      <c r="D41" s="148"/>
      <c r="E41" s="148"/>
      <c r="F41" s="148"/>
      <c r="G41" s="148"/>
      <c r="H41" s="148"/>
      <c r="I41" s="148"/>
      <c r="J41" s="148"/>
      <c r="K41" s="148"/>
      <c r="L41" s="148"/>
      <c r="M41" s="148"/>
      <c r="N41" s="148"/>
      <c r="O41" s="148"/>
      <c r="P41" s="148"/>
      <c r="Q41" s="148"/>
      <c r="R41" s="148"/>
      <c r="S41" s="148"/>
      <c r="T41" s="148"/>
      <c r="U41" s="148"/>
      <c r="V41" s="148"/>
      <c r="W41" s="148"/>
      <c r="X41" s="148"/>
      <c r="Y41" s="148"/>
      <c r="Z41" s="149"/>
    </row>
    <row r="42" spans="1:26" s="95" customFormat="1" ht="16.149999999999999" thickBot="1">
      <c r="A42" s="111" t="s">
        <v>77</v>
      </c>
      <c r="B42" s="112" t="s">
        <v>175</v>
      </c>
      <c r="C42" s="113">
        <v>1</v>
      </c>
      <c r="D42" s="113">
        <v>2</v>
      </c>
      <c r="E42" s="113">
        <v>3</v>
      </c>
      <c r="F42" s="113">
        <v>4</v>
      </c>
      <c r="G42" s="113">
        <v>5</v>
      </c>
      <c r="H42" s="113">
        <v>6</v>
      </c>
      <c r="I42" s="113">
        <v>7</v>
      </c>
      <c r="J42" s="113">
        <v>8</v>
      </c>
      <c r="K42" s="113">
        <v>9</v>
      </c>
      <c r="L42" s="113">
        <v>10</v>
      </c>
      <c r="M42" s="113">
        <v>11</v>
      </c>
      <c r="N42" s="113">
        <v>12</v>
      </c>
      <c r="O42" s="113">
        <v>13</v>
      </c>
      <c r="P42" s="113">
        <v>14</v>
      </c>
      <c r="Q42" s="113">
        <v>15</v>
      </c>
      <c r="R42" s="113">
        <v>16</v>
      </c>
      <c r="S42" s="113">
        <v>17</v>
      </c>
      <c r="T42" s="113">
        <v>18</v>
      </c>
      <c r="U42" s="113">
        <v>19</v>
      </c>
      <c r="V42" s="113">
        <v>20</v>
      </c>
      <c r="W42" s="113">
        <v>21</v>
      </c>
      <c r="X42" s="113">
        <v>22</v>
      </c>
      <c r="Y42" s="113">
        <v>23</v>
      </c>
      <c r="Z42" s="114">
        <v>24</v>
      </c>
    </row>
    <row r="43" spans="1:26" ht="14.25" customHeight="1">
      <c r="A43" s="143" t="s">
        <v>40</v>
      </c>
      <c r="B43" s="97" t="s">
        <v>155</v>
      </c>
      <c r="C43" s="97">
        <v>0</v>
      </c>
      <c r="D43" s="97">
        <v>0</v>
      </c>
      <c r="E43" s="97">
        <v>0</v>
      </c>
      <c r="F43" s="97">
        <v>0</v>
      </c>
      <c r="G43" s="97">
        <v>0</v>
      </c>
      <c r="H43" s="97">
        <v>0</v>
      </c>
      <c r="I43" s="97">
        <v>0</v>
      </c>
      <c r="J43" s="97">
        <v>0</v>
      </c>
      <c r="K43" s="97">
        <v>0</v>
      </c>
      <c r="L43" s="97">
        <v>0</v>
      </c>
      <c r="M43" s="97">
        <v>95</v>
      </c>
      <c r="N43" s="97">
        <v>95</v>
      </c>
      <c r="O43" s="97">
        <v>95</v>
      </c>
      <c r="P43" s="97">
        <v>95</v>
      </c>
      <c r="Q43" s="97">
        <v>95</v>
      </c>
      <c r="R43" s="97">
        <v>95</v>
      </c>
      <c r="S43" s="97">
        <v>95</v>
      </c>
      <c r="T43" s="97">
        <v>95</v>
      </c>
      <c r="U43" s="97">
        <v>95</v>
      </c>
      <c r="V43" s="97">
        <v>95</v>
      </c>
      <c r="W43" s="97">
        <v>95</v>
      </c>
      <c r="X43" s="97">
        <v>95</v>
      </c>
      <c r="Y43" s="97">
        <v>0</v>
      </c>
      <c r="Z43" s="109">
        <v>0</v>
      </c>
    </row>
    <row r="44" spans="1:26">
      <c r="A44" s="141"/>
      <c r="B44" s="98" t="s">
        <v>156</v>
      </c>
      <c r="C44" s="98">
        <v>5</v>
      </c>
      <c r="D44" s="98">
        <v>5</v>
      </c>
      <c r="E44" s="98">
        <v>5</v>
      </c>
      <c r="F44" s="98">
        <v>5</v>
      </c>
      <c r="G44" s="98">
        <v>5</v>
      </c>
      <c r="H44" s="98">
        <v>5</v>
      </c>
      <c r="I44" s="98">
        <v>5</v>
      </c>
      <c r="J44" s="98">
        <v>5</v>
      </c>
      <c r="K44" s="98">
        <v>5</v>
      </c>
      <c r="L44" s="98">
        <v>5</v>
      </c>
      <c r="M44" s="98">
        <v>75</v>
      </c>
      <c r="N44" s="98">
        <v>75</v>
      </c>
      <c r="O44" s="98">
        <v>75</v>
      </c>
      <c r="P44" s="98">
        <v>75</v>
      </c>
      <c r="Q44" s="98">
        <v>75</v>
      </c>
      <c r="R44" s="98">
        <v>75</v>
      </c>
      <c r="S44" s="98">
        <v>75</v>
      </c>
      <c r="T44" s="98">
        <v>75</v>
      </c>
      <c r="U44" s="98">
        <v>75</v>
      </c>
      <c r="V44" s="98">
        <v>75</v>
      </c>
      <c r="W44" s="98">
        <v>75</v>
      </c>
      <c r="X44" s="98">
        <v>75</v>
      </c>
      <c r="Y44" s="98">
        <v>5</v>
      </c>
      <c r="Z44" s="104">
        <v>5</v>
      </c>
    </row>
    <row r="45" spans="1:26">
      <c r="A45" s="141"/>
      <c r="B45" s="99" t="s">
        <v>157</v>
      </c>
      <c r="C45" s="99">
        <v>0</v>
      </c>
      <c r="D45" s="99">
        <v>0</v>
      </c>
      <c r="E45" s="99">
        <v>0</v>
      </c>
      <c r="F45" s="99">
        <v>0</v>
      </c>
      <c r="G45" s="99">
        <v>0</v>
      </c>
      <c r="H45" s="99">
        <v>0</v>
      </c>
      <c r="I45" s="99">
        <v>0</v>
      </c>
      <c r="J45" s="99">
        <v>0</v>
      </c>
      <c r="K45" s="99">
        <v>0</v>
      </c>
      <c r="L45" s="99">
        <v>0</v>
      </c>
      <c r="M45" s="99">
        <v>25</v>
      </c>
      <c r="N45" s="99">
        <v>25</v>
      </c>
      <c r="O45" s="99">
        <v>75</v>
      </c>
      <c r="P45" s="99">
        <v>75</v>
      </c>
      <c r="Q45" s="99">
        <v>25</v>
      </c>
      <c r="R45" s="99">
        <v>25</v>
      </c>
      <c r="S45" s="99">
        <v>25</v>
      </c>
      <c r="T45" s="99">
        <v>25</v>
      </c>
      <c r="U45" s="99">
        <v>75</v>
      </c>
      <c r="V45" s="99">
        <v>75</v>
      </c>
      <c r="W45" s="99">
        <v>75</v>
      </c>
      <c r="X45" s="99">
        <v>75</v>
      </c>
      <c r="Y45" s="99">
        <v>0</v>
      </c>
      <c r="Z45" s="105">
        <v>0</v>
      </c>
    </row>
    <row r="46" spans="1:26">
      <c r="A46" s="141"/>
      <c r="B46" s="100" t="s">
        <v>165</v>
      </c>
      <c r="C46" s="144">
        <v>0.5</v>
      </c>
      <c r="D46" s="144"/>
      <c r="E46" s="144"/>
      <c r="F46" s="144"/>
      <c r="G46" s="144"/>
      <c r="H46" s="144"/>
      <c r="I46" s="144"/>
      <c r="J46" s="144"/>
      <c r="K46" s="144"/>
      <c r="L46" s="144"/>
      <c r="M46" s="144">
        <v>0.1</v>
      </c>
      <c r="N46" s="144"/>
      <c r="O46" s="144"/>
      <c r="P46" s="144"/>
      <c r="Q46" s="144"/>
      <c r="R46" s="144"/>
      <c r="S46" s="144"/>
      <c r="T46" s="144"/>
      <c r="U46" s="144"/>
      <c r="V46" s="144"/>
      <c r="W46" s="144"/>
      <c r="X46" s="144"/>
      <c r="Y46" s="144">
        <v>0.5</v>
      </c>
      <c r="Z46" s="145"/>
    </row>
    <row r="47" spans="1:26">
      <c r="A47" s="141"/>
      <c r="B47" s="110" t="s">
        <v>166</v>
      </c>
      <c r="C47" s="146" t="s">
        <v>159</v>
      </c>
      <c r="D47" s="146"/>
      <c r="E47" s="146"/>
      <c r="F47" s="146"/>
      <c r="G47" s="146"/>
      <c r="H47" s="146"/>
      <c r="I47" s="146"/>
      <c r="J47" s="146"/>
      <c r="K47" s="146"/>
      <c r="L47" s="146"/>
      <c r="M47" s="146" t="s">
        <v>167</v>
      </c>
      <c r="N47" s="146"/>
      <c r="O47" s="146"/>
      <c r="P47" s="146"/>
      <c r="Q47" s="146"/>
      <c r="R47" s="146"/>
      <c r="S47" s="146"/>
      <c r="T47" s="146"/>
      <c r="U47" s="146"/>
      <c r="V47" s="146"/>
      <c r="W47" s="146"/>
      <c r="X47" s="146"/>
      <c r="Y47" s="146" t="s">
        <v>159</v>
      </c>
      <c r="Z47" s="147"/>
    </row>
    <row r="48" spans="1:26">
      <c r="A48" s="141"/>
      <c r="B48" s="100" t="s">
        <v>158</v>
      </c>
      <c r="C48" s="144" t="s">
        <v>159</v>
      </c>
      <c r="D48" s="144"/>
      <c r="E48" s="144"/>
      <c r="F48" s="144"/>
      <c r="G48" s="144"/>
      <c r="H48" s="144"/>
      <c r="I48" s="144"/>
      <c r="J48" s="144"/>
      <c r="K48" s="144"/>
      <c r="L48" s="144"/>
      <c r="M48" s="144">
        <v>22</v>
      </c>
      <c r="N48" s="144"/>
      <c r="O48" s="144"/>
      <c r="P48" s="144"/>
      <c r="Q48" s="144"/>
      <c r="R48" s="144"/>
      <c r="S48" s="144"/>
      <c r="T48" s="144"/>
      <c r="U48" s="144"/>
      <c r="V48" s="144"/>
      <c r="W48" s="144"/>
      <c r="X48" s="144"/>
      <c r="Y48" s="144" t="s">
        <v>159</v>
      </c>
      <c r="Z48" s="145"/>
    </row>
    <row r="49" spans="1:26" ht="14.65" thickBot="1">
      <c r="A49" s="142"/>
      <c r="B49" s="101" t="s">
        <v>160</v>
      </c>
      <c r="C49" s="148" t="s">
        <v>159</v>
      </c>
      <c r="D49" s="148"/>
      <c r="E49" s="148"/>
      <c r="F49" s="148"/>
      <c r="G49" s="148"/>
      <c r="H49" s="148"/>
      <c r="I49" s="148"/>
      <c r="J49" s="148"/>
      <c r="K49" s="148"/>
      <c r="L49" s="148"/>
      <c r="M49" s="148">
        <v>18</v>
      </c>
      <c r="N49" s="148"/>
      <c r="O49" s="148"/>
      <c r="P49" s="148"/>
      <c r="Q49" s="148"/>
      <c r="R49" s="148"/>
      <c r="S49" s="148"/>
      <c r="T49" s="148"/>
      <c r="U49" s="148"/>
      <c r="V49" s="148"/>
      <c r="W49" s="148"/>
      <c r="X49" s="148"/>
      <c r="Y49" s="148" t="s">
        <v>159</v>
      </c>
      <c r="Z49" s="149"/>
    </row>
    <row r="50" spans="1:26" s="95" customFormat="1" ht="16.149999999999999" thickBot="1">
      <c r="A50" s="111" t="s">
        <v>77</v>
      </c>
      <c r="B50" s="112" t="s">
        <v>175</v>
      </c>
      <c r="C50" s="113">
        <v>1</v>
      </c>
      <c r="D50" s="113">
        <v>2</v>
      </c>
      <c r="E50" s="113">
        <v>3</v>
      </c>
      <c r="F50" s="113">
        <v>4</v>
      </c>
      <c r="G50" s="113">
        <v>5</v>
      </c>
      <c r="H50" s="113">
        <v>6</v>
      </c>
      <c r="I50" s="113">
        <v>7</v>
      </c>
      <c r="J50" s="113">
        <v>8</v>
      </c>
      <c r="K50" s="113">
        <v>9</v>
      </c>
      <c r="L50" s="113">
        <v>10</v>
      </c>
      <c r="M50" s="113">
        <v>11</v>
      </c>
      <c r="N50" s="113">
        <v>12</v>
      </c>
      <c r="O50" s="113">
        <v>13</v>
      </c>
      <c r="P50" s="113">
        <v>14</v>
      </c>
      <c r="Q50" s="113">
        <v>15</v>
      </c>
      <c r="R50" s="113">
        <v>16</v>
      </c>
      <c r="S50" s="113">
        <v>17</v>
      </c>
      <c r="T50" s="113">
        <v>18</v>
      </c>
      <c r="U50" s="113">
        <v>19</v>
      </c>
      <c r="V50" s="113">
        <v>20</v>
      </c>
      <c r="W50" s="113">
        <v>21</v>
      </c>
      <c r="X50" s="113">
        <v>22</v>
      </c>
      <c r="Y50" s="113">
        <v>23</v>
      </c>
      <c r="Z50" s="114">
        <v>24</v>
      </c>
    </row>
    <row r="51" spans="1:26" ht="14.25" customHeight="1">
      <c r="A51" s="143" t="s">
        <v>177</v>
      </c>
      <c r="B51" s="97" t="s">
        <v>155</v>
      </c>
      <c r="C51" s="97">
        <v>0</v>
      </c>
      <c r="D51" s="97">
        <v>0</v>
      </c>
      <c r="E51" s="97">
        <v>0</v>
      </c>
      <c r="F51" s="97">
        <v>0</v>
      </c>
      <c r="G51" s="97">
        <v>0</v>
      </c>
      <c r="H51" s="97">
        <v>0</v>
      </c>
      <c r="I51" s="97">
        <v>0</v>
      </c>
      <c r="J51" s="97">
        <v>0</v>
      </c>
      <c r="K51" s="97">
        <v>95</v>
      </c>
      <c r="L51" s="97">
        <v>95</v>
      </c>
      <c r="M51" s="97">
        <v>95</v>
      </c>
      <c r="N51" s="97">
        <v>75</v>
      </c>
      <c r="O51" s="97">
        <v>75</v>
      </c>
      <c r="P51" s="97">
        <v>95</v>
      </c>
      <c r="Q51" s="97">
        <v>95</v>
      </c>
      <c r="R51" s="97">
        <v>95</v>
      </c>
      <c r="S51" s="97">
        <v>50</v>
      </c>
      <c r="T51" s="97">
        <v>0</v>
      </c>
      <c r="U51" s="97">
        <v>0</v>
      </c>
      <c r="V51" s="97">
        <v>0</v>
      </c>
      <c r="W51" s="97">
        <v>0</v>
      </c>
      <c r="X51" s="97">
        <v>0</v>
      </c>
      <c r="Y51" s="97">
        <v>0</v>
      </c>
      <c r="Z51" s="109">
        <v>0</v>
      </c>
    </row>
    <row r="52" spans="1:26">
      <c r="A52" s="141"/>
      <c r="B52" s="98" t="s">
        <v>156</v>
      </c>
      <c r="C52" s="98">
        <v>0</v>
      </c>
      <c r="D52" s="98">
        <v>0</v>
      </c>
      <c r="E52" s="98">
        <v>0</v>
      </c>
      <c r="F52" s="98">
        <v>0</v>
      </c>
      <c r="G52" s="98">
        <v>0</v>
      </c>
      <c r="H52" s="98">
        <v>0</v>
      </c>
      <c r="I52" s="98">
        <v>0</v>
      </c>
      <c r="J52" s="98">
        <v>0</v>
      </c>
      <c r="K52" s="98">
        <v>95</v>
      </c>
      <c r="L52" s="98">
        <v>95</v>
      </c>
      <c r="M52" s="98">
        <v>95</v>
      </c>
      <c r="N52" s="98">
        <v>75</v>
      </c>
      <c r="O52" s="98">
        <v>75</v>
      </c>
      <c r="P52" s="98">
        <v>95</v>
      </c>
      <c r="Q52" s="98">
        <v>95</v>
      </c>
      <c r="R52" s="98">
        <v>95</v>
      </c>
      <c r="S52" s="98">
        <v>50</v>
      </c>
      <c r="T52" s="98">
        <v>0</v>
      </c>
      <c r="U52" s="98">
        <v>0</v>
      </c>
      <c r="V52" s="98">
        <v>0</v>
      </c>
      <c r="W52" s="98">
        <v>0</v>
      </c>
      <c r="X52" s="98">
        <v>0</v>
      </c>
      <c r="Y52" s="98">
        <v>0</v>
      </c>
      <c r="Z52" s="104">
        <v>0</v>
      </c>
    </row>
    <row r="53" spans="1:26">
      <c r="A53" s="141"/>
      <c r="B53" s="99" t="s">
        <v>157</v>
      </c>
      <c r="C53" s="99">
        <v>0</v>
      </c>
      <c r="D53" s="99">
        <v>0</v>
      </c>
      <c r="E53" s="99">
        <v>0</v>
      </c>
      <c r="F53" s="99">
        <v>0</v>
      </c>
      <c r="G53" s="99">
        <v>0</v>
      </c>
      <c r="H53" s="99">
        <v>0</v>
      </c>
      <c r="I53" s="99">
        <v>0</v>
      </c>
      <c r="J53" s="99">
        <v>0</v>
      </c>
      <c r="K53" s="99">
        <v>90</v>
      </c>
      <c r="L53" s="99">
        <v>90</v>
      </c>
      <c r="M53" s="99">
        <v>90</v>
      </c>
      <c r="N53" s="99">
        <v>45</v>
      </c>
      <c r="O53" s="99">
        <v>45</v>
      </c>
      <c r="P53" s="99">
        <v>90</v>
      </c>
      <c r="Q53" s="99">
        <v>90</v>
      </c>
      <c r="R53" s="99">
        <v>90</v>
      </c>
      <c r="S53" s="99">
        <v>45</v>
      </c>
      <c r="T53" s="99">
        <v>0</v>
      </c>
      <c r="U53" s="99">
        <v>0</v>
      </c>
      <c r="V53" s="99">
        <v>0</v>
      </c>
      <c r="W53" s="99">
        <v>0</v>
      </c>
      <c r="X53" s="99">
        <v>0</v>
      </c>
      <c r="Y53" s="99">
        <v>0</v>
      </c>
      <c r="Z53" s="105">
        <v>0</v>
      </c>
    </row>
    <row r="54" spans="1:26">
      <c r="A54" s="141"/>
      <c r="B54" s="100" t="s">
        <v>165</v>
      </c>
      <c r="C54" s="144">
        <v>1</v>
      </c>
      <c r="D54" s="144"/>
      <c r="E54" s="144"/>
      <c r="F54" s="144"/>
      <c r="G54" s="144"/>
      <c r="H54" s="144"/>
      <c r="I54" s="144"/>
      <c r="J54" s="144"/>
      <c r="K54" s="144">
        <v>5</v>
      </c>
      <c r="L54" s="144"/>
      <c r="M54" s="144"/>
      <c r="N54" s="144"/>
      <c r="O54" s="144"/>
      <c r="P54" s="144"/>
      <c r="Q54" s="144"/>
      <c r="R54" s="144"/>
      <c r="S54" s="144"/>
      <c r="T54" s="144">
        <v>1</v>
      </c>
      <c r="U54" s="144"/>
      <c r="V54" s="144"/>
      <c r="W54" s="144"/>
      <c r="X54" s="144"/>
      <c r="Y54" s="144"/>
      <c r="Z54" s="145"/>
    </row>
    <row r="55" spans="1:26">
      <c r="A55" s="141"/>
      <c r="B55" s="110" t="s">
        <v>166</v>
      </c>
      <c r="C55" s="146" t="s">
        <v>159</v>
      </c>
      <c r="D55" s="146"/>
      <c r="E55" s="146"/>
      <c r="F55" s="146"/>
      <c r="G55" s="146"/>
      <c r="H55" s="146"/>
      <c r="I55" s="146"/>
      <c r="J55" s="146"/>
      <c r="K55" s="146"/>
      <c r="L55" s="146"/>
      <c r="M55" s="146"/>
      <c r="N55" s="146"/>
      <c r="O55" s="146"/>
      <c r="P55" s="146"/>
      <c r="Q55" s="146"/>
      <c r="R55" s="146"/>
      <c r="S55" s="146"/>
      <c r="T55" s="146"/>
      <c r="U55" s="146"/>
      <c r="V55" s="146"/>
      <c r="W55" s="146"/>
      <c r="X55" s="146"/>
      <c r="Y55" s="146"/>
      <c r="Z55" s="147"/>
    </row>
    <row r="56" spans="1:26">
      <c r="A56" s="141"/>
      <c r="B56" s="100" t="s">
        <v>158</v>
      </c>
      <c r="C56" s="144" t="s">
        <v>159</v>
      </c>
      <c r="D56" s="144"/>
      <c r="E56" s="144"/>
      <c r="F56" s="144"/>
      <c r="G56" s="144"/>
      <c r="H56" s="144"/>
      <c r="I56" s="144"/>
      <c r="J56" s="144"/>
      <c r="K56" s="144">
        <v>23</v>
      </c>
      <c r="L56" s="144"/>
      <c r="M56" s="144"/>
      <c r="N56" s="144"/>
      <c r="O56" s="144"/>
      <c r="P56" s="144"/>
      <c r="Q56" s="144"/>
      <c r="R56" s="144"/>
      <c r="S56" s="144"/>
      <c r="T56" s="144" t="s">
        <v>159</v>
      </c>
      <c r="U56" s="144"/>
      <c r="V56" s="144"/>
      <c r="W56" s="144"/>
      <c r="X56" s="144"/>
      <c r="Y56" s="144"/>
      <c r="Z56" s="145"/>
    </row>
    <row r="57" spans="1:26" ht="14.65" thickBot="1">
      <c r="A57" s="142"/>
      <c r="B57" s="101" t="s">
        <v>160</v>
      </c>
      <c r="C57" s="148" t="s">
        <v>159</v>
      </c>
      <c r="D57" s="148"/>
      <c r="E57" s="148"/>
      <c r="F57" s="148"/>
      <c r="G57" s="148"/>
      <c r="H57" s="148"/>
      <c r="I57" s="148"/>
      <c r="J57" s="148"/>
      <c r="K57" s="148">
        <v>20</v>
      </c>
      <c r="L57" s="148"/>
      <c r="M57" s="148"/>
      <c r="N57" s="148"/>
      <c r="O57" s="148"/>
      <c r="P57" s="148"/>
      <c r="Q57" s="148"/>
      <c r="R57" s="148"/>
      <c r="S57" s="148"/>
      <c r="T57" s="148" t="s">
        <v>159</v>
      </c>
      <c r="U57" s="148"/>
      <c r="V57" s="148"/>
      <c r="W57" s="148"/>
      <c r="X57" s="148"/>
      <c r="Y57" s="148"/>
      <c r="Z57" s="149"/>
    </row>
    <row r="58" spans="1:26">
      <c r="A58" s="143" t="s">
        <v>170</v>
      </c>
      <c r="B58" s="97" t="s">
        <v>155</v>
      </c>
      <c r="C58" s="97">
        <v>0</v>
      </c>
      <c r="D58" s="97">
        <v>0</v>
      </c>
      <c r="E58" s="97">
        <v>0</v>
      </c>
      <c r="F58" s="97">
        <v>0</v>
      </c>
      <c r="G58" s="97">
        <v>0</v>
      </c>
      <c r="H58" s="97">
        <v>0</v>
      </c>
      <c r="I58" s="97">
        <v>0</v>
      </c>
      <c r="J58" s="97">
        <v>0</v>
      </c>
      <c r="K58" s="97">
        <v>95</v>
      </c>
      <c r="L58" s="97">
        <v>95</v>
      </c>
      <c r="M58" s="97">
        <v>95</v>
      </c>
      <c r="N58" s="97">
        <v>95</v>
      </c>
      <c r="O58" s="97">
        <v>95</v>
      </c>
      <c r="P58" s="97">
        <v>50</v>
      </c>
      <c r="Q58" s="97">
        <v>0</v>
      </c>
      <c r="R58" s="97">
        <v>0</v>
      </c>
      <c r="S58" s="97">
        <v>0</v>
      </c>
      <c r="T58" s="97">
        <v>0</v>
      </c>
      <c r="U58" s="97">
        <v>0</v>
      </c>
      <c r="V58" s="97">
        <v>0</v>
      </c>
      <c r="W58" s="97">
        <v>0</v>
      </c>
      <c r="X58" s="97">
        <v>0</v>
      </c>
      <c r="Y58" s="97">
        <v>0</v>
      </c>
      <c r="Z58" s="109">
        <v>0</v>
      </c>
    </row>
    <row r="59" spans="1:26">
      <c r="A59" s="141"/>
      <c r="B59" s="98" t="s">
        <v>156</v>
      </c>
      <c r="C59" s="98">
        <v>0</v>
      </c>
      <c r="D59" s="98">
        <v>0</v>
      </c>
      <c r="E59" s="98">
        <v>0</v>
      </c>
      <c r="F59" s="98">
        <v>0</v>
      </c>
      <c r="G59" s="98">
        <v>0</v>
      </c>
      <c r="H59" s="98">
        <v>0</v>
      </c>
      <c r="I59" s="98">
        <v>0</v>
      </c>
      <c r="J59" s="98">
        <v>0</v>
      </c>
      <c r="K59" s="98">
        <v>95</v>
      </c>
      <c r="L59" s="98">
        <v>95</v>
      </c>
      <c r="M59" s="98">
        <v>95</v>
      </c>
      <c r="N59" s="98">
        <v>95</v>
      </c>
      <c r="O59" s="98">
        <v>95</v>
      </c>
      <c r="P59" s="98">
        <v>50</v>
      </c>
      <c r="Q59" s="98">
        <v>0</v>
      </c>
      <c r="R59" s="98">
        <v>0</v>
      </c>
      <c r="S59" s="98">
        <v>0</v>
      </c>
      <c r="T59" s="98">
        <v>0</v>
      </c>
      <c r="U59" s="98">
        <v>0</v>
      </c>
      <c r="V59" s="98">
        <v>0</v>
      </c>
      <c r="W59" s="98">
        <v>0</v>
      </c>
      <c r="X59" s="98">
        <v>0</v>
      </c>
      <c r="Y59" s="98">
        <v>0</v>
      </c>
      <c r="Z59" s="104">
        <v>0</v>
      </c>
    </row>
    <row r="60" spans="1:26">
      <c r="A60" s="141"/>
      <c r="B60" s="99" t="s">
        <v>157</v>
      </c>
      <c r="C60" s="99">
        <v>0</v>
      </c>
      <c r="D60" s="99">
        <v>0</v>
      </c>
      <c r="E60" s="99">
        <v>0</v>
      </c>
      <c r="F60" s="99">
        <v>0</v>
      </c>
      <c r="G60" s="99">
        <v>0</v>
      </c>
      <c r="H60" s="99">
        <v>0</v>
      </c>
      <c r="I60" s="99">
        <v>0</v>
      </c>
      <c r="J60" s="99">
        <v>0</v>
      </c>
      <c r="K60" s="99">
        <v>90</v>
      </c>
      <c r="L60" s="99">
        <v>90</v>
      </c>
      <c r="M60" s="99">
        <v>90</v>
      </c>
      <c r="N60" s="99">
        <v>90</v>
      </c>
      <c r="O60" s="99">
        <v>90</v>
      </c>
      <c r="P60" s="99">
        <v>45</v>
      </c>
      <c r="Q60" s="99">
        <v>0</v>
      </c>
      <c r="R60" s="99">
        <v>0</v>
      </c>
      <c r="S60" s="99">
        <v>0</v>
      </c>
      <c r="T60" s="99">
        <v>0</v>
      </c>
      <c r="U60" s="99">
        <v>0</v>
      </c>
      <c r="V60" s="99">
        <v>0</v>
      </c>
      <c r="W60" s="99">
        <v>0</v>
      </c>
      <c r="X60" s="99">
        <v>0</v>
      </c>
      <c r="Y60" s="99">
        <v>0</v>
      </c>
      <c r="Z60" s="105">
        <v>0</v>
      </c>
    </row>
    <row r="61" spans="1:26">
      <c r="A61" s="141"/>
      <c r="B61" s="100" t="s">
        <v>165</v>
      </c>
      <c r="C61" s="144">
        <v>1</v>
      </c>
      <c r="D61" s="144"/>
      <c r="E61" s="144"/>
      <c r="F61" s="144"/>
      <c r="G61" s="144"/>
      <c r="H61" s="144"/>
      <c r="I61" s="144"/>
      <c r="J61" s="144"/>
      <c r="K61" s="144">
        <v>5</v>
      </c>
      <c r="L61" s="144"/>
      <c r="M61" s="144"/>
      <c r="N61" s="144"/>
      <c r="O61" s="144"/>
      <c r="P61" s="144"/>
      <c r="Q61" s="144">
        <v>1</v>
      </c>
      <c r="R61" s="144"/>
      <c r="S61" s="144"/>
      <c r="T61" s="144"/>
      <c r="U61" s="144"/>
      <c r="V61" s="144"/>
      <c r="W61" s="144"/>
      <c r="X61" s="144"/>
      <c r="Y61" s="144"/>
      <c r="Z61" s="145"/>
    </row>
    <row r="62" spans="1:26">
      <c r="A62" s="141"/>
      <c r="B62" s="110" t="s">
        <v>166</v>
      </c>
      <c r="C62" s="146" t="s">
        <v>159</v>
      </c>
      <c r="D62" s="146"/>
      <c r="E62" s="146"/>
      <c r="F62" s="146"/>
      <c r="G62" s="146"/>
      <c r="H62" s="146"/>
      <c r="I62" s="146"/>
      <c r="J62" s="146"/>
      <c r="K62" s="146"/>
      <c r="L62" s="146"/>
      <c r="M62" s="146"/>
      <c r="N62" s="146"/>
      <c r="O62" s="146"/>
      <c r="P62" s="146"/>
      <c r="Q62" s="146"/>
      <c r="R62" s="146"/>
      <c r="S62" s="146"/>
      <c r="T62" s="146"/>
      <c r="U62" s="146"/>
      <c r="V62" s="146"/>
      <c r="W62" s="146"/>
      <c r="X62" s="146"/>
      <c r="Y62" s="146"/>
      <c r="Z62" s="147"/>
    </row>
    <row r="63" spans="1:26">
      <c r="A63" s="141"/>
      <c r="B63" s="100" t="s">
        <v>158</v>
      </c>
      <c r="C63" s="144" t="s">
        <v>159</v>
      </c>
      <c r="D63" s="144"/>
      <c r="E63" s="144"/>
      <c r="F63" s="144"/>
      <c r="G63" s="144"/>
      <c r="H63" s="144"/>
      <c r="I63" s="144"/>
      <c r="J63" s="144"/>
      <c r="K63" s="144">
        <v>23</v>
      </c>
      <c r="L63" s="144"/>
      <c r="M63" s="144"/>
      <c r="N63" s="144"/>
      <c r="O63" s="144"/>
      <c r="P63" s="144"/>
      <c r="Q63" s="144" t="s">
        <v>159</v>
      </c>
      <c r="R63" s="144"/>
      <c r="S63" s="144"/>
      <c r="T63" s="144"/>
      <c r="U63" s="144"/>
      <c r="V63" s="144"/>
      <c r="W63" s="144"/>
      <c r="X63" s="144"/>
      <c r="Y63" s="144"/>
      <c r="Z63" s="145"/>
    </row>
    <row r="64" spans="1:26" ht="14.65" thickBot="1">
      <c r="A64" s="142"/>
      <c r="B64" s="101" t="s">
        <v>160</v>
      </c>
      <c r="C64" s="148" t="s">
        <v>159</v>
      </c>
      <c r="D64" s="148"/>
      <c r="E64" s="148"/>
      <c r="F64" s="148"/>
      <c r="G64" s="148"/>
      <c r="H64" s="148"/>
      <c r="I64" s="148"/>
      <c r="J64" s="148"/>
      <c r="K64" s="148">
        <v>20</v>
      </c>
      <c r="L64" s="148"/>
      <c r="M64" s="148"/>
      <c r="N64" s="148"/>
      <c r="O64" s="148"/>
      <c r="P64" s="148"/>
      <c r="Q64" s="148" t="s">
        <v>159</v>
      </c>
      <c r="R64" s="148"/>
      <c r="S64" s="148"/>
      <c r="T64" s="148"/>
      <c r="U64" s="148"/>
      <c r="V64" s="148"/>
      <c r="W64" s="148"/>
      <c r="X64" s="148"/>
      <c r="Y64" s="148"/>
      <c r="Z64" s="149"/>
    </row>
    <row r="65" spans="1:26">
      <c r="A65" s="143" t="s">
        <v>171</v>
      </c>
      <c r="B65" s="97" t="s">
        <v>155</v>
      </c>
      <c r="C65" s="97">
        <v>5</v>
      </c>
      <c r="D65" s="97">
        <v>5</v>
      </c>
      <c r="E65" s="97">
        <v>5</v>
      </c>
      <c r="F65" s="97">
        <v>5</v>
      </c>
      <c r="G65" s="97">
        <v>5</v>
      </c>
      <c r="H65" s="97">
        <v>5</v>
      </c>
      <c r="I65" s="97">
        <v>5</v>
      </c>
      <c r="J65" s="97">
        <v>5</v>
      </c>
      <c r="K65" s="97">
        <v>5</v>
      </c>
      <c r="L65" s="97">
        <v>5</v>
      </c>
      <c r="M65" s="97">
        <v>5</v>
      </c>
      <c r="N65" s="97">
        <v>5</v>
      </c>
      <c r="O65" s="97">
        <v>5</v>
      </c>
      <c r="P65" s="97">
        <v>5</v>
      </c>
      <c r="Q65" s="97">
        <v>5</v>
      </c>
      <c r="R65" s="97">
        <v>5</v>
      </c>
      <c r="S65" s="97">
        <v>5</v>
      </c>
      <c r="T65" s="97">
        <v>5</v>
      </c>
      <c r="U65" s="97">
        <v>5</v>
      </c>
      <c r="V65" s="97">
        <v>5</v>
      </c>
      <c r="W65" s="97">
        <v>5</v>
      </c>
      <c r="X65" s="97">
        <v>5</v>
      </c>
      <c r="Y65" s="97">
        <v>5</v>
      </c>
      <c r="Z65" s="109">
        <v>5</v>
      </c>
    </row>
    <row r="66" spans="1:26">
      <c r="A66" s="141"/>
      <c r="B66" s="98" t="s">
        <v>156</v>
      </c>
      <c r="C66" s="98">
        <v>5</v>
      </c>
      <c r="D66" s="98">
        <v>5</v>
      </c>
      <c r="E66" s="98">
        <v>5</v>
      </c>
      <c r="F66" s="98">
        <v>5</v>
      </c>
      <c r="G66" s="98">
        <v>5</v>
      </c>
      <c r="H66" s="98">
        <v>5</v>
      </c>
      <c r="I66" s="98">
        <v>5</v>
      </c>
      <c r="J66" s="98">
        <v>5</v>
      </c>
      <c r="K66" s="98">
        <v>5</v>
      </c>
      <c r="L66" s="98">
        <v>5</v>
      </c>
      <c r="M66" s="98">
        <v>5</v>
      </c>
      <c r="N66" s="98">
        <v>5</v>
      </c>
      <c r="O66" s="98">
        <v>5</v>
      </c>
      <c r="P66" s="98">
        <v>5</v>
      </c>
      <c r="Q66" s="98">
        <v>5</v>
      </c>
      <c r="R66" s="98">
        <v>5</v>
      </c>
      <c r="S66" s="98">
        <v>5</v>
      </c>
      <c r="T66" s="98">
        <v>5</v>
      </c>
      <c r="U66" s="98">
        <v>5</v>
      </c>
      <c r="V66" s="98">
        <v>5</v>
      </c>
      <c r="W66" s="98">
        <v>5</v>
      </c>
      <c r="X66" s="98">
        <v>5</v>
      </c>
      <c r="Y66" s="98">
        <v>5</v>
      </c>
      <c r="Z66" s="104">
        <v>5</v>
      </c>
    </row>
    <row r="67" spans="1:26">
      <c r="A67" s="141"/>
      <c r="B67" s="99" t="s">
        <v>157</v>
      </c>
      <c r="C67" s="99">
        <v>0</v>
      </c>
      <c r="D67" s="99">
        <v>0</v>
      </c>
      <c r="E67" s="99">
        <v>0</v>
      </c>
      <c r="F67" s="99">
        <v>0</v>
      </c>
      <c r="G67" s="99">
        <v>0</v>
      </c>
      <c r="H67" s="99">
        <v>0</v>
      </c>
      <c r="I67" s="99">
        <v>0</v>
      </c>
      <c r="J67" s="99">
        <v>0</v>
      </c>
      <c r="K67" s="99">
        <v>0</v>
      </c>
      <c r="L67" s="99">
        <v>0</v>
      </c>
      <c r="M67" s="99">
        <v>0</v>
      </c>
      <c r="N67" s="99">
        <v>0</v>
      </c>
      <c r="O67" s="99">
        <v>0</v>
      </c>
      <c r="P67" s="99">
        <v>0</v>
      </c>
      <c r="Q67" s="99">
        <v>0</v>
      </c>
      <c r="R67" s="99">
        <v>0</v>
      </c>
      <c r="S67" s="99">
        <v>0</v>
      </c>
      <c r="T67" s="99">
        <v>0</v>
      </c>
      <c r="U67" s="99">
        <v>0</v>
      </c>
      <c r="V67" s="99">
        <v>0</v>
      </c>
      <c r="W67" s="99">
        <v>0</v>
      </c>
      <c r="X67" s="99">
        <v>0</v>
      </c>
      <c r="Y67" s="99">
        <v>0</v>
      </c>
      <c r="Z67" s="105">
        <v>0</v>
      </c>
    </row>
    <row r="68" spans="1:26">
      <c r="A68" s="141"/>
      <c r="B68" s="100" t="s">
        <v>165</v>
      </c>
      <c r="C68" s="144">
        <v>0.2</v>
      </c>
      <c r="D68" s="144"/>
      <c r="E68" s="144"/>
      <c r="F68" s="144"/>
      <c r="G68" s="144"/>
      <c r="H68" s="144"/>
      <c r="I68" s="144"/>
      <c r="J68" s="144"/>
      <c r="K68" s="144"/>
      <c r="L68" s="144"/>
      <c r="M68" s="144"/>
      <c r="N68" s="144"/>
      <c r="O68" s="144"/>
      <c r="P68" s="144"/>
      <c r="Q68" s="144"/>
      <c r="R68" s="144"/>
      <c r="S68" s="144"/>
      <c r="T68" s="144"/>
      <c r="U68" s="144"/>
      <c r="V68" s="144"/>
      <c r="W68" s="144"/>
      <c r="X68" s="144"/>
      <c r="Y68" s="144"/>
      <c r="Z68" s="145"/>
    </row>
    <row r="69" spans="1:26">
      <c r="A69" s="141"/>
      <c r="B69" s="110" t="s">
        <v>166</v>
      </c>
      <c r="C69" s="146" t="s">
        <v>159</v>
      </c>
      <c r="D69" s="146"/>
      <c r="E69" s="146"/>
      <c r="F69" s="146"/>
      <c r="G69" s="146"/>
      <c r="H69" s="146"/>
      <c r="I69" s="146"/>
      <c r="J69" s="146"/>
      <c r="K69" s="146"/>
      <c r="L69" s="146"/>
      <c r="M69" s="146"/>
      <c r="N69" s="146"/>
      <c r="O69" s="146"/>
      <c r="P69" s="146"/>
      <c r="Q69" s="146"/>
      <c r="R69" s="146"/>
      <c r="S69" s="146"/>
      <c r="T69" s="146"/>
      <c r="U69" s="146"/>
      <c r="V69" s="146"/>
      <c r="W69" s="146"/>
      <c r="X69" s="146"/>
      <c r="Y69" s="146"/>
      <c r="Z69" s="147"/>
    </row>
    <row r="70" spans="1:26">
      <c r="A70" s="141"/>
      <c r="B70" s="100" t="s">
        <v>158</v>
      </c>
      <c r="C70" s="144" t="s">
        <v>159</v>
      </c>
      <c r="D70" s="144"/>
      <c r="E70" s="144"/>
      <c r="F70" s="144"/>
      <c r="G70" s="144"/>
      <c r="H70" s="144"/>
      <c r="I70" s="144"/>
      <c r="J70" s="144"/>
      <c r="K70" s="144"/>
      <c r="L70" s="144"/>
      <c r="M70" s="144"/>
      <c r="N70" s="144"/>
      <c r="O70" s="144"/>
      <c r="P70" s="144"/>
      <c r="Q70" s="144"/>
      <c r="R70" s="144"/>
      <c r="S70" s="144"/>
      <c r="T70" s="144"/>
      <c r="U70" s="144"/>
      <c r="V70" s="144"/>
      <c r="W70" s="144"/>
      <c r="X70" s="144"/>
      <c r="Y70" s="144"/>
      <c r="Z70" s="145"/>
    </row>
    <row r="71" spans="1:26" ht="14.65" thickBot="1">
      <c r="A71" s="142"/>
      <c r="B71" s="101" t="s">
        <v>160</v>
      </c>
      <c r="C71" s="148" t="s">
        <v>159</v>
      </c>
      <c r="D71" s="148"/>
      <c r="E71" s="148"/>
      <c r="F71" s="148"/>
      <c r="G71" s="148"/>
      <c r="H71" s="148"/>
      <c r="I71" s="148"/>
      <c r="J71" s="148"/>
      <c r="K71" s="148"/>
      <c r="L71" s="148"/>
      <c r="M71" s="148"/>
      <c r="N71" s="148"/>
      <c r="O71" s="148"/>
      <c r="P71" s="148"/>
      <c r="Q71" s="148"/>
      <c r="R71" s="148"/>
      <c r="S71" s="148"/>
      <c r="T71" s="148"/>
      <c r="U71" s="148"/>
      <c r="V71" s="148"/>
      <c r="W71" s="148"/>
      <c r="X71" s="148"/>
      <c r="Y71" s="148"/>
      <c r="Z71" s="149"/>
    </row>
    <row r="72" spans="1:26" s="95" customFormat="1" ht="16.149999999999999" thickBot="1">
      <c r="A72" s="111" t="s">
        <v>77</v>
      </c>
      <c r="B72" s="112" t="s">
        <v>175</v>
      </c>
      <c r="C72" s="113">
        <v>1</v>
      </c>
      <c r="D72" s="113">
        <v>2</v>
      </c>
      <c r="E72" s="113">
        <v>3</v>
      </c>
      <c r="F72" s="113">
        <v>4</v>
      </c>
      <c r="G72" s="113">
        <v>5</v>
      </c>
      <c r="H72" s="113">
        <v>6</v>
      </c>
      <c r="I72" s="113">
        <v>7</v>
      </c>
      <c r="J72" s="113">
        <v>8</v>
      </c>
      <c r="K72" s="113">
        <v>9</v>
      </c>
      <c r="L72" s="113">
        <v>10</v>
      </c>
      <c r="M72" s="113">
        <v>11</v>
      </c>
      <c r="N72" s="113">
        <v>12</v>
      </c>
      <c r="O72" s="113">
        <v>13</v>
      </c>
      <c r="P72" s="113">
        <v>14</v>
      </c>
      <c r="Q72" s="113">
        <v>15</v>
      </c>
      <c r="R72" s="113">
        <v>16</v>
      </c>
      <c r="S72" s="113">
        <v>17</v>
      </c>
      <c r="T72" s="113">
        <v>18</v>
      </c>
      <c r="U72" s="113">
        <v>19</v>
      </c>
      <c r="V72" s="113">
        <v>20</v>
      </c>
      <c r="W72" s="113">
        <v>21</v>
      </c>
      <c r="X72" s="113">
        <v>22</v>
      </c>
      <c r="Y72" s="113">
        <v>23</v>
      </c>
      <c r="Z72" s="114">
        <v>24</v>
      </c>
    </row>
    <row r="73" spans="1:26">
      <c r="A73" s="143" t="s">
        <v>172</v>
      </c>
      <c r="B73" s="97" t="s">
        <v>155</v>
      </c>
      <c r="C73" s="97">
        <v>10</v>
      </c>
      <c r="D73" s="97">
        <v>10</v>
      </c>
      <c r="E73" s="97">
        <v>10</v>
      </c>
      <c r="F73" s="97">
        <v>10</v>
      </c>
      <c r="G73" s="97">
        <v>10</v>
      </c>
      <c r="H73" s="97">
        <v>10</v>
      </c>
      <c r="I73" s="97">
        <v>30</v>
      </c>
      <c r="J73" s="97">
        <v>30</v>
      </c>
      <c r="K73" s="97">
        <v>30</v>
      </c>
      <c r="L73" s="97">
        <v>30</v>
      </c>
      <c r="M73" s="97">
        <v>30</v>
      </c>
      <c r="N73" s="97">
        <v>30</v>
      </c>
      <c r="O73" s="97">
        <v>30</v>
      </c>
      <c r="P73" s="97">
        <v>30</v>
      </c>
      <c r="Q73" s="97">
        <v>50</v>
      </c>
      <c r="R73" s="97">
        <v>50</v>
      </c>
      <c r="S73" s="97">
        <v>60</v>
      </c>
      <c r="T73" s="97">
        <v>90</v>
      </c>
      <c r="U73" s="97">
        <v>90</v>
      </c>
      <c r="V73" s="97">
        <v>90</v>
      </c>
      <c r="W73" s="97">
        <v>90</v>
      </c>
      <c r="X73" s="97">
        <v>80</v>
      </c>
      <c r="Y73" s="97">
        <v>10</v>
      </c>
      <c r="Z73" s="109">
        <v>10</v>
      </c>
    </row>
    <row r="74" spans="1:26">
      <c r="A74" s="141"/>
      <c r="B74" s="98" t="s">
        <v>156</v>
      </c>
      <c r="C74" s="98">
        <v>95</v>
      </c>
      <c r="D74" s="98">
        <v>95</v>
      </c>
      <c r="E74" s="98">
        <v>95</v>
      </c>
      <c r="F74" s="98">
        <v>95</v>
      </c>
      <c r="G74" s="98">
        <v>95</v>
      </c>
      <c r="H74" s="98">
        <v>95</v>
      </c>
      <c r="I74" s="98">
        <v>95</v>
      </c>
      <c r="J74" s="98">
        <v>95</v>
      </c>
      <c r="K74" s="98">
        <v>95</v>
      </c>
      <c r="L74" s="98">
        <v>95</v>
      </c>
      <c r="M74" s="98">
        <v>95</v>
      </c>
      <c r="N74" s="98">
        <v>95</v>
      </c>
      <c r="O74" s="98">
        <v>95</v>
      </c>
      <c r="P74" s="98">
        <v>95</v>
      </c>
      <c r="Q74" s="98">
        <v>95</v>
      </c>
      <c r="R74" s="98">
        <v>95</v>
      </c>
      <c r="S74" s="98">
        <v>95</v>
      </c>
      <c r="T74" s="98">
        <v>95</v>
      </c>
      <c r="U74" s="98">
        <v>95</v>
      </c>
      <c r="V74" s="98">
        <v>95</v>
      </c>
      <c r="W74" s="98">
        <v>95</v>
      </c>
      <c r="X74" s="98">
        <v>95</v>
      </c>
      <c r="Y74" s="98">
        <v>95</v>
      </c>
      <c r="Z74" s="104">
        <v>95</v>
      </c>
    </row>
    <row r="75" spans="1:26">
      <c r="A75" s="141"/>
      <c r="B75" s="99" t="s">
        <v>157</v>
      </c>
      <c r="C75" s="99">
        <v>95</v>
      </c>
      <c r="D75" s="99">
        <v>95</v>
      </c>
      <c r="E75" s="99">
        <v>95</v>
      </c>
      <c r="F75" s="99">
        <v>95</v>
      </c>
      <c r="G75" s="99">
        <v>95</v>
      </c>
      <c r="H75" s="99">
        <v>95</v>
      </c>
      <c r="I75" s="99">
        <v>95</v>
      </c>
      <c r="J75" s="99">
        <v>95</v>
      </c>
      <c r="K75" s="99">
        <v>95</v>
      </c>
      <c r="L75" s="99">
        <v>95</v>
      </c>
      <c r="M75" s="99">
        <v>95</v>
      </c>
      <c r="N75" s="99">
        <v>95</v>
      </c>
      <c r="O75" s="99">
        <v>95</v>
      </c>
      <c r="P75" s="99">
        <v>95</v>
      </c>
      <c r="Q75" s="99">
        <v>95</v>
      </c>
      <c r="R75" s="99">
        <v>95</v>
      </c>
      <c r="S75" s="99">
        <v>95</v>
      </c>
      <c r="T75" s="99">
        <v>95</v>
      </c>
      <c r="U75" s="99">
        <v>95</v>
      </c>
      <c r="V75" s="99">
        <v>95</v>
      </c>
      <c r="W75" s="99">
        <v>95</v>
      </c>
      <c r="X75" s="99">
        <v>95</v>
      </c>
      <c r="Y75" s="99">
        <v>95</v>
      </c>
      <c r="Z75" s="105">
        <v>95</v>
      </c>
    </row>
    <row r="76" spans="1:26">
      <c r="A76" s="141"/>
      <c r="B76" s="100" t="s">
        <v>165</v>
      </c>
      <c r="C76" s="144">
        <v>0.1</v>
      </c>
      <c r="D76" s="144"/>
      <c r="E76" s="144"/>
      <c r="F76" s="144"/>
      <c r="G76" s="144"/>
      <c r="H76" s="144"/>
      <c r="I76" s="144"/>
      <c r="J76" s="144"/>
      <c r="K76" s="144"/>
      <c r="L76" s="144"/>
      <c r="M76" s="144"/>
      <c r="N76" s="144"/>
      <c r="O76" s="144"/>
      <c r="P76" s="144"/>
      <c r="Q76" s="144"/>
      <c r="R76" s="144"/>
      <c r="S76" s="144"/>
      <c r="T76" s="144"/>
      <c r="U76" s="144"/>
      <c r="V76" s="144"/>
      <c r="W76" s="144"/>
      <c r="X76" s="144"/>
      <c r="Y76" s="144"/>
      <c r="Z76" s="145"/>
    </row>
    <row r="77" spans="1:26">
      <c r="A77" s="141"/>
      <c r="B77" s="110" t="s">
        <v>166</v>
      </c>
      <c r="C77" s="146" t="s">
        <v>167</v>
      </c>
      <c r="D77" s="146"/>
      <c r="E77" s="146"/>
      <c r="F77" s="146"/>
      <c r="G77" s="146"/>
      <c r="H77" s="146"/>
      <c r="I77" s="146"/>
      <c r="J77" s="146"/>
      <c r="K77" s="146"/>
      <c r="L77" s="146"/>
      <c r="M77" s="146"/>
      <c r="N77" s="146"/>
      <c r="O77" s="146"/>
      <c r="P77" s="146"/>
      <c r="Q77" s="146"/>
      <c r="R77" s="146"/>
      <c r="S77" s="146"/>
      <c r="T77" s="146"/>
      <c r="U77" s="146"/>
      <c r="V77" s="146"/>
      <c r="W77" s="146"/>
      <c r="X77" s="146"/>
      <c r="Y77" s="146"/>
      <c r="Z77" s="147"/>
    </row>
    <row r="78" spans="1:26">
      <c r="A78" s="141"/>
      <c r="B78" s="100" t="s">
        <v>158</v>
      </c>
      <c r="C78" s="144">
        <v>25</v>
      </c>
      <c r="D78" s="144"/>
      <c r="E78" s="144"/>
      <c r="F78" s="144"/>
      <c r="G78" s="144"/>
      <c r="H78" s="144"/>
      <c r="I78" s="144"/>
      <c r="J78" s="144"/>
      <c r="K78" s="144"/>
      <c r="L78" s="144"/>
      <c r="M78" s="144"/>
      <c r="N78" s="144"/>
      <c r="O78" s="144"/>
      <c r="P78" s="144"/>
      <c r="Q78" s="144"/>
      <c r="R78" s="144"/>
      <c r="S78" s="144"/>
      <c r="T78" s="144"/>
      <c r="U78" s="144"/>
      <c r="V78" s="144"/>
      <c r="W78" s="144"/>
      <c r="X78" s="144"/>
      <c r="Y78" s="144"/>
      <c r="Z78" s="145"/>
    </row>
    <row r="79" spans="1:26" ht="14.65" thickBot="1">
      <c r="A79" s="142"/>
      <c r="B79" s="101" t="s">
        <v>160</v>
      </c>
      <c r="C79" s="148">
        <v>22</v>
      </c>
      <c r="D79" s="148"/>
      <c r="E79" s="148"/>
      <c r="F79" s="148"/>
      <c r="G79" s="148"/>
      <c r="H79" s="148"/>
      <c r="I79" s="148"/>
      <c r="J79" s="148"/>
      <c r="K79" s="148"/>
      <c r="L79" s="148"/>
      <c r="M79" s="148"/>
      <c r="N79" s="148"/>
      <c r="O79" s="148"/>
      <c r="P79" s="148"/>
      <c r="Q79" s="148"/>
      <c r="R79" s="148"/>
      <c r="S79" s="148"/>
      <c r="T79" s="148"/>
      <c r="U79" s="148"/>
      <c r="V79" s="148"/>
      <c r="W79" s="148"/>
      <c r="X79" s="148"/>
      <c r="Y79" s="148"/>
      <c r="Z79" s="149"/>
    </row>
    <row r="80" spans="1:26" s="95" customFormat="1" ht="16.149999999999999" thickBot="1">
      <c r="A80" s="111" t="s">
        <v>77</v>
      </c>
      <c r="B80" s="112" t="s">
        <v>175</v>
      </c>
      <c r="C80" s="113">
        <v>1</v>
      </c>
      <c r="D80" s="113">
        <v>2</v>
      </c>
      <c r="E80" s="113">
        <v>3</v>
      </c>
      <c r="F80" s="113">
        <v>4</v>
      </c>
      <c r="G80" s="113">
        <v>5</v>
      </c>
      <c r="H80" s="113">
        <v>6</v>
      </c>
      <c r="I80" s="113">
        <v>7</v>
      </c>
      <c r="J80" s="113">
        <v>8</v>
      </c>
      <c r="K80" s="113">
        <v>9</v>
      </c>
      <c r="L80" s="113">
        <v>10</v>
      </c>
      <c r="M80" s="113">
        <v>11</v>
      </c>
      <c r="N80" s="113">
        <v>12</v>
      </c>
      <c r="O80" s="113">
        <v>13</v>
      </c>
      <c r="P80" s="113">
        <v>14</v>
      </c>
      <c r="Q80" s="113">
        <v>15</v>
      </c>
      <c r="R80" s="113">
        <v>16</v>
      </c>
      <c r="S80" s="113">
        <v>17</v>
      </c>
      <c r="T80" s="113">
        <v>18</v>
      </c>
      <c r="U80" s="113">
        <v>19</v>
      </c>
      <c r="V80" s="113">
        <v>20</v>
      </c>
      <c r="W80" s="113">
        <v>21</v>
      </c>
      <c r="X80" s="113">
        <v>22</v>
      </c>
      <c r="Y80" s="113">
        <v>23</v>
      </c>
      <c r="Z80" s="114">
        <v>24</v>
      </c>
    </row>
    <row r="81" spans="1:26">
      <c r="A81" s="143" t="s">
        <v>173</v>
      </c>
      <c r="B81" s="97" t="s">
        <v>155</v>
      </c>
      <c r="C81" s="97">
        <v>10</v>
      </c>
      <c r="D81" s="97">
        <v>10</v>
      </c>
      <c r="E81" s="97">
        <v>10</v>
      </c>
      <c r="F81" s="97">
        <v>10</v>
      </c>
      <c r="G81" s="97">
        <v>10</v>
      </c>
      <c r="H81" s="97">
        <v>10</v>
      </c>
      <c r="I81" s="97">
        <v>10</v>
      </c>
      <c r="J81" s="97">
        <v>10</v>
      </c>
      <c r="K81" s="97">
        <v>55</v>
      </c>
      <c r="L81" s="97">
        <v>100</v>
      </c>
      <c r="M81" s="97">
        <v>100</v>
      </c>
      <c r="N81" s="97">
        <v>100</v>
      </c>
      <c r="O81" s="97">
        <v>100</v>
      </c>
      <c r="P81" s="97">
        <v>100</v>
      </c>
      <c r="Q81" s="97">
        <v>100</v>
      </c>
      <c r="R81" s="97">
        <v>100</v>
      </c>
      <c r="S81" s="97">
        <v>100</v>
      </c>
      <c r="T81" s="97">
        <v>55</v>
      </c>
      <c r="U81" s="97">
        <v>10</v>
      </c>
      <c r="V81" s="97">
        <v>10</v>
      </c>
      <c r="W81" s="97">
        <v>10</v>
      </c>
      <c r="X81" s="97">
        <v>10</v>
      </c>
      <c r="Y81" s="97">
        <v>10</v>
      </c>
      <c r="Z81" s="109">
        <v>10</v>
      </c>
    </row>
    <row r="82" spans="1:26">
      <c r="A82" s="141"/>
      <c r="B82" s="98" t="s">
        <v>156</v>
      </c>
      <c r="C82" s="98">
        <v>10</v>
      </c>
      <c r="D82" s="98">
        <v>10</v>
      </c>
      <c r="E82" s="98">
        <v>10</v>
      </c>
      <c r="F82" s="98">
        <v>10</v>
      </c>
      <c r="G82" s="98">
        <v>10</v>
      </c>
      <c r="H82" s="98">
        <v>10</v>
      </c>
      <c r="I82" s="98">
        <v>10</v>
      </c>
      <c r="J82" s="98">
        <v>10</v>
      </c>
      <c r="K82" s="98">
        <v>55</v>
      </c>
      <c r="L82" s="98">
        <v>100</v>
      </c>
      <c r="M82" s="98">
        <v>100</v>
      </c>
      <c r="N82" s="98">
        <v>100</v>
      </c>
      <c r="O82" s="98">
        <v>100</v>
      </c>
      <c r="P82" s="98">
        <v>100</v>
      </c>
      <c r="Q82" s="98">
        <v>100</v>
      </c>
      <c r="R82" s="98">
        <v>100</v>
      </c>
      <c r="S82" s="98">
        <v>100</v>
      </c>
      <c r="T82" s="98">
        <v>55</v>
      </c>
      <c r="U82" s="98">
        <v>10</v>
      </c>
      <c r="V82" s="98">
        <v>10</v>
      </c>
      <c r="W82" s="98">
        <v>10</v>
      </c>
      <c r="X82" s="98">
        <v>10</v>
      </c>
      <c r="Y82" s="98">
        <v>10</v>
      </c>
      <c r="Z82" s="104">
        <v>10</v>
      </c>
    </row>
    <row r="83" spans="1:26">
      <c r="A83" s="141"/>
      <c r="B83" s="99" t="s">
        <v>157</v>
      </c>
      <c r="C83" s="99">
        <v>10</v>
      </c>
      <c r="D83" s="99">
        <v>10</v>
      </c>
      <c r="E83" s="99">
        <v>10</v>
      </c>
      <c r="F83" s="99">
        <v>10</v>
      </c>
      <c r="G83" s="99">
        <v>10</v>
      </c>
      <c r="H83" s="99">
        <v>10</v>
      </c>
      <c r="I83" s="99">
        <v>10</v>
      </c>
      <c r="J83" s="99">
        <v>10</v>
      </c>
      <c r="K83" s="99">
        <v>55</v>
      </c>
      <c r="L83" s="99">
        <v>100</v>
      </c>
      <c r="M83" s="99">
        <v>100</v>
      </c>
      <c r="N83" s="99">
        <v>100</v>
      </c>
      <c r="O83" s="99">
        <v>100</v>
      </c>
      <c r="P83" s="99">
        <v>100</v>
      </c>
      <c r="Q83" s="99">
        <v>100</v>
      </c>
      <c r="R83" s="99">
        <v>100</v>
      </c>
      <c r="S83" s="99">
        <v>100</v>
      </c>
      <c r="T83" s="99">
        <v>55</v>
      </c>
      <c r="U83" s="99">
        <v>10</v>
      </c>
      <c r="V83" s="99">
        <v>10</v>
      </c>
      <c r="W83" s="99">
        <v>10</v>
      </c>
      <c r="X83" s="99">
        <v>10</v>
      </c>
      <c r="Y83" s="99">
        <v>10</v>
      </c>
      <c r="Z83" s="105">
        <v>10</v>
      </c>
    </row>
    <row r="84" spans="1:26">
      <c r="A84" s="141"/>
      <c r="B84" s="100" t="s">
        <v>165</v>
      </c>
      <c r="C84" s="144">
        <v>0.5</v>
      </c>
      <c r="D84" s="144"/>
      <c r="E84" s="144"/>
      <c r="F84" s="144"/>
      <c r="G84" s="144"/>
      <c r="H84" s="144"/>
      <c r="I84" s="144"/>
      <c r="J84" s="144"/>
      <c r="K84" s="144">
        <v>0.1</v>
      </c>
      <c r="L84" s="144"/>
      <c r="M84" s="144"/>
      <c r="N84" s="144"/>
      <c r="O84" s="144"/>
      <c r="P84" s="144"/>
      <c r="Q84" s="144"/>
      <c r="R84" s="144"/>
      <c r="S84" s="144"/>
      <c r="T84" s="144"/>
      <c r="U84" s="144">
        <v>0.5</v>
      </c>
      <c r="V84" s="144"/>
      <c r="W84" s="144"/>
      <c r="X84" s="144"/>
      <c r="Y84" s="144"/>
      <c r="Z84" s="145"/>
    </row>
    <row r="85" spans="1:26">
      <c r="A85" s="141"/>
      <c r="B85" s="110" t="s">
        <v>166</v>
      </c>
      <c r="C85" s="146" t="s">
        <v>159</v>
      </c>
      <c r="D85" s="146"/>
      <c r="E85" s="146"/>
      <c r="F85" s="146"/>
      <c r="G85" s="146"/>
      <c r="H85" s="146"/>
      <c r="I85" s="146"/>
      <c r="J85" s="146"/>
      <c r="K85" s="146" t="s">
        <v>167</v>
      </c>
      <c r="L85" s="146"/>
      <c r="M85" s="146"/>
      <c r="N85" s="146"/>
      <c r="O85" s="146"/>
      <c r="P85" s="146"/>
      <c r="Q85" s="146"/>
      <c r="R85" s="146"/>
      <c r="S85" s="146"/>
      <c r="T85" s="146"/>
      <c r="U85" s="146" t="s">
        <v>159</v>
      </c>
      <c r="V85" s="146"/>
      <c r="W85" s="146"/>
      <c r="X85" s="146"/>
      <c r="Y85" s="146"/>
      <c r="Z85" s="147"/>
    </row>
    <row r="86" spans="1:26">
      <c r="A86" s="141"/>
      <c r="B86" s="100" t="s">
        <v>158</v>
      </c>
      <c r="C86" s="144">
        <v>30</v>
      </c>
      <c r="D86" s="144"/>
      <c r="E86" s="144"/>
      <c r="F86" s="144"/>
      <c r="G86" s="144"/>
      <c r="H86" s="144"/>
      <c r="I86" s="144"/>
      <c r="J86" s="144"/>
      <c r="K86" s="144">
        <v>25</v>
      </c>
      <c r="L86" s="144"/>
      <c r="M86" s="144"/>
      <c r="N86" s="144"/>
      <c r="O86" s="144"/>
      <c r="P86" s="144"/>
      <c r="Q86" s="144"/>
      <c r="R86" s="144"/>
      <c r="S86" s="144"/>
      <c r="T86" s="144"/>
      <c r="U86" s="144">
        <v>30</v>
      </c>
      <c r="V86" s="144"/>
      <c r="W86" s="144"/>
      <c r="X86" s="144"/>
      <c r="Y86" s="144"/>
      <c r="Z86" s="145"/>
    </row>
    <row r="87" spans="1:26" ht="14.65" thickBot="1">
      <c r="A87" s="142"/>
      <c r="B87" s="101" t="s">
        <v>160</v>
      </c>
      <c r="C87" s="148" t="s">
        <v>159</v>
      </c>
      <c r="D87" s="148"/>
      <c r="E87" s="148"/>
      <c r="F87" s="148"/>
      <c r="G87" s="148"/>
      <c r="H87" s="148"/>
      <c r="I87" s="148"/>
      <c r="J87" s="148"/>
      <c r="K87" s="148"/>
      <c r="L87" s="148"/>
      <c r="M87" s="148"/>
      <c r="N87" s="148"/>
      <c r="O87" s="148"/>
      <c r="P87" s="148"/>
      <c r="Q87" s="148"/>
      <c r="R87" s="148"/>
      <c r="S87" s="148"/>
      <c r="T87" s="148"/>
      <c r="U87" s="148"/>
      <c r="V87" s="148"/>
      <c r="W87" s="148"/>
      <c r="X87" s="148"/>
      <c r="Y87" s="148"/>
      <c r="Z87" s="149"/>
    </row>
    <row r="88" spans="1:26">
      <c r="A88" s="143" t="s">
        <v>174</v>
      </c>
      <c r="B88" s="97" t="s">
        <v>155</v>
      </c>
      <c r="C88" s="97">
        <v>10</v>
      </c>
      <c r="D88" s="97">
        <v>10</v>
      </c>
      <c r="E88" s="97">
        <v>10</v>
      </c>
      <c r="F88" s="97">
        <v>10</v>
      </c>
      <c r="G88" s="97">
        <v>10</v>
      </c>
      <c r="H88" s="97">
        <v>10</v>
      </c>
      <c r="I88" s="97">
        <v>10</v>
      </c>
      <c r="J88" s="97">
        <v>10</v>
      </c>
      <c r="K88" s="97">
        <v>10</v>
      </c>
      <c r="L88" s="97">
        <v>10</v>
      </c>
      <c r="M88" s="97">
        <v>10</v>
      </c>
      <c r="N88" s="97">
        <v>10</v>
      </c>
      <c r="O88" s="97">
        <v>10</v>
      </c>
      <c r="P88" s="97">
        <v>10</v>
      </c>
      <c r="Q88" s="97">
        <v>10</v>
      </c>
      <c r="R88" s="97">
        <v>10</v>
      </c>
      <c r="S88" s="97">
        <v>10</v>
      </c>
      <c r="T88" s="97">
        <v>10</v>
      </c>
      <c r="U88" s="97">
        <v>10</v>
      </c>
      <c r="V88" s="97">
        <v>10</v>
      </c>
      <c r="W88" s="97">
        <v>10</v>
      </c>
      <c r="X88" s="97">
        <v>10</v>
      </c>
      <c r="Y88" s="97">
        <v>10</v>
      </c>
      <c r="Z88" s="109">
        <v>10</v>
      </c>
    </row>
    <row r="89" spans="1:26">
      <c r="A89" s="141"/>
      <c r="B89" s="98" t="s">
        <v>156</v>
      </c>
      <c r="C89" s="98">
        <v>10</v>
      </c>
      <c r="D89" s="98">
        <v>10</v>
      </c>
      <c r="E89" s="98">
        <v>10</v>
      </c>
      <c r="F89" s="98">
        <v>10</v>
      </c>
      <c r="G89" s="98">
        <v>10</v>
      </c>
      <c r="H89" s="98">
        <v>10</v>
      </c>
      <c r="I89" s="98">
        <v>10</v>
      </c>
      <c r="J89" s="98">
        <v>10</v>
      </c>
      <c r="K89" s="98">
        <v>10</v>
      </c>
      <c r="L89" s="98">
        <v>10</v>
      </c>
      <c r="M89" s="98">
        <v>10</v>
      </c>
      <c r="N89" s="98">
        <v>10</v>
      </c>
      <c r="O89" s="98">
        <v>10</v>
      </c>
      <c r="P89" s="98">
        <v>10</v>
      </c>
      <c r="Q89" s="98">
        <v>10</v>
      </c>
      <c r="R89" s="98">
        <v>10</v>
      </c>
      <c r="S89" s="98">
        <v>10</v>
      </c>
      <c r="T89" s="98">
        <v>10</v>
      </c>
      <c r="U89" s="98">
        <v>10</v>
      </c>
      <c r="V89" s="98">
        <v>10</v>
      </c>
      <c r="W89" s="98">
        <v>10</v>
      </c>
      <c r="X89" s="98">
        <v>10</v>
      </c>
      <c r="Y89" s="98">
        <v>10</v>
      </c>
      <c r="Z89" s="104">
        <v>10</v>
      </c>
    </row>
    <row r="90" spans="1:26">
      <c r="A90" s="141"/>
      <c r="B90" s="99" t="s">
        <v>157</v>
      </c>
      <c r="C90" s="99">
        <v>10</v>
      </c>
      <c r="D90" s="99">
        <v>10</v>
      </c>
      <c r="E90" s="99">
        <v>10</v>
      </c>
      <c r="F90" s="99">
        <v>10</v>
      </c>
      <c r="G90" s="99">
        <v>10</v>
      </c>
      <c r="H90" s="99">
        <v>10</v>
      </c>
      <c r="I90" s="99">
        <v>10</v>
      </c>
      <c r="J90" s="99">
        <v>10</v>
      </c>
      <c r="K90" s="99">
        <v>10</v>
      </c>
      <c r="L90" s="99">
        <v>10</v>
      </c>
      <c r="M90" s="99">
        <v>10</v>
      </c>
      <c r="N90" s="99">
        <v>10</v>
      </c>
      <c r="O90" s="99">
        <v>10</v>
      </c>
      <c r="P90" s="99">
        <v>10</v>
      </c>
      <c r="Q90" s="99">
        <v>10</v>
      </c>
      <c r="R90" s="99">
        <v>10</v>
      </c>
      <c r="S90" s="99">
        <v>10</v>
      </c>
      <c r="T90" s="99">
        <v>10</v>
      </c>
      <c r="U90" s="99">
        <v>10</v>
      </c>
      <c r="V90" s="99">
        <v>10</v>
      </c>
      <c r="W90" s="99">
        <v>10</v>
      </c>
      <c r="X90" s="99">
        <v>10</v>
      </c>
      <c r="Y90" s="99">
        <v>10</v>
      </c>
      <c r="Z90" s="105">
        <v>10</v>
      </c>
    </row>
    <row r="91" spans="1:26">
      <c r="A91" s="141"/>
      <c r="B91" s="100" t="s">
        <v>165</v>
      </c>
      <c r="C91" s="144">
        <v>0.5</v>
      </c>
      <c r="D91" s="144"/>
      <c r="E91" s="144"/>
      <c r="F91" s="144"/>
      <c r="G91" s="144"/>
      <c r="H91" s="144"/>
      <c r="I91" s="144"/>
      <c r="J91" s="144"/>
      <c r="K91" s="144"/>
      <c r="L91" s="144"/>
      <c r="M91" s="144"/>
      <c r="N91" s="144"/>
      <c r="O91" s="144"/>
      <c r="P91" s="144"/>
      <c r="Q91" s="144"/>
      <c r="R91" s="144"/>
      <c r="S91" s="144"/>
      <c r="T91" s="144"/>
      <c r="U91" s="144"/>
      <c r="V91" s="144"/>
      <c r="W91" s="144"/>
      <c r="X91" s="144"/>
      <c r="Y91" s="144"/>
      <c r="Z91" s="145"/>
    </row>
    <row r="92" spans="1:26">
      <c r="A92" s="141"/>
      <c r="B92" s="110" t="s">
        <v>166</v>
      </c>
      <c r="C92" s="146" t="s">
        <v>159</v>
      </c>
      <c r="D92" s="146"/>
      <c r="E92" s="146"/>
      <c r="F92" s="146"/>
      <c r="G92" s="146"/>
      <c r="H92" s="146"/>
      <c r="I92" s="146"/>
      <c r="J92" s="146"/>
      <c r="K92" s="146"/>
      <c r="L92" s="146"/>
      <c r="M92" s="146"/>
      <c r="N92" s="146"/>
      <c r="O92" s="146"/>
      <c r="P92" s="146"/>
      <c r="Q92" s="146"/>
      <c r="R92" s="146"/>
      <c r="S92" s="146"/>
      <c r="T92" s="146"/>
      <c r="U92" s="146"/>
      <c r="V92" s="146"/>
      <c r="W92" s="146"/>
      <c r="X92" s="146"/>
      <c r="Y92" s="146"/>
      <c r="Z92" s="147"/>
    </row>
    <row r="93" spans="1:26">
      <c r="A93" s="141"/>
      <c r="B93" s="100" t="s">
        <v>158</v>
      </c>
      <c r="C93" s="144">
        <v>30</v>
      </c>
      <c r="D93" s="144"/>
      <c r="E93" s="144"/>
      <c r="F93" s="144"/>
      <c r="G93" s="144"/>
      <c r="H93" s="144"/>
      <c r="I93" s="144"/>
      <c r="J93" s="144"/>
      <c r="K93" s="144"/>
      <c r="L93" s="144"/>
      <c r="M93" s="144"/>
      <c r="N93" s="144"/>
      <c r="O93" s="144"/>
      <c r="P93" s="144"/>
      <c r="Q93" s="144"/>
      <c r="R93" s="144"/>
      <c r="S93" s="144"/>
      <c r="T93" s="144"/>
      <c r="U93" s="144"/>
      <c r="V93" s="144"/>
      <c r="W93" s="144"/>
      <c r="X93" s="144"/>
      <c r="Y93" s="144"/>
      <c r="Z93" s="145"/>
    </row>
    <row r="94" spans="1:26" ht="14.65" thickBot="1">
      <c r="A94" s="142"/>
      <c r="B94" s="101" t="s">
        <v>160</v>
      </c>
      <c r="C94" s="148" t="s">
        <v>159</v>
      </c>
      <c r="D94" s="148"/>
      <c r="E94" s="148"/>
      <c r="F94" s="148"/>
      <c r="G94" s="148"/>
      <c r="H94" s="148"/>
      <c r="I94" s="148"/>
      <c r="J94" s="148"/>
      <c r="K94" s="148"/>
      <c r="L94" s="148"/>
      <c r="M94" s="148"/>
      <c r="N94" s="148"/>
      <c r="O94" s="148"/>
      <c r="P94" s="148"/>
      <c r="Q94" s="148"/>
      <c r="R94" s="148"/>
      <c r="S94" s="148"/>
      <c r="T94" s="148"/>
      <c r="U94" s="148"/>
      <c r="V94" s="148"/>
      <c r="W94" s="148"/>
      <c r="X94" s="148"/>
      <c r="Y94" s="148"/>
      <c r="Z94" s="149"/>
    </row>
    <row r="95" spans="1:26">
      <c r="A95" s="64"/>
      <c r="B95" s="64"/>
    </row>
    <row r="96" spans="1:26">
      <c r="A96" s="139" t="s">
        <v>178</v>
      </c>
      <c r="B96" s="139"/>
      <c r="C96" s="139"/>
      <c r="D96" s="139"/>
      <c r="E96" s="139"/>
      <c r="F96" s="139"/>
      <c r="G96" s="139"/>
      <c r="H96" s="139"/>
      <c r="I96" s="139"/>
      <c r="J96" s="139"/>
      <c r="K96" s="139"/>
      <c r="L96" s="139"/>
      <c r="M96" s="139"/>
      <c r="N96" s="139"/>
      <c r="O96" s="139"/>
      <c r="P96" s="139"/>
      <c r="Q96" s="139"/>
      <c r="R96" s="139"/>
      <c r="S96" s="139"/>
      <c r="T96" s="139"/>
      <c r="U96" s="139"/>
      <c r="V96" s="139"/>
      <c r="W96" s="139"/>
      <c r="X96" s="139"/>
      <c r="Y96" s="139"/>
      <c r="Z96" s="139"/>
    </row>
    <row r="97" spans="1:26">
      <c r="A97" s="139" t="s">
        <v>179</v>
      </c>
      <c r="B97" s="139"/>
      <c r="C97" s="139"/>
      <c r="D97" s="139"/>
      <c r="E97" s="139"/>
      <c r="F97" s="139"/>
      <c r="G97" s="139"/>
      <c r="H97" s="139"/>
      <c r="I97" s="139"/>
      <c r="J97" s="139"/>
      <c r="K97" s="139"/>
      <c r="L97" s="139"/>
      <c r="M97" s="139"/>
      <c r="N97" s="139"/>
      <c r="O97" s="139"/>
      <c r="P97" s="139"/>
      <c r="Q97" s="139"/>
      <c r="R97" s="139"/>
      <c r="S97" s="139"/>
      <c r="T97" s="139"/>
      <c r="U97" s="139"/>
      <c r="V97" s="139"/>
      <c r="W97" s="139"/>
      <c r="X97" s="139"/>
      <c r="Y97" s="139"/>
      <c r="Z97" s="139"/>
    </row>
    <row r="98" spans="1:26">
      <c r="A98" s="96"/>
      <c r="B98" s="96"/>
      <c r="C98" s="96"/>
      <c r="D98" s="96"/>
      <c r="E98" s="96"/>
      <c r="F98" s="96"/>
      <c r="G98" s="96"/>
      <c r="H98" s="96"/>
      <c r="I98" s="96"/>
      <c r="J98" s="96"/>
      <c r="K98" s="96"/>
      <c r="L98" s="96"/>
      <c r="M98" s="96"/>
      <c r="N98" s="96"/>
      <c r="O98" s="96"/>
      <c r="P98" s="96"/>
      <c r="Q98" s="96"/>
      <c r="R98" s="96"/>
      <c r="S98" s="96"/>
      <c r="T98" s="96"/>
      <c r="U98" s="96"/>
      <c r="V98" s="96"/>
      <c r="W98" s="96"/>
      <c r="X98" s="96"/>
      <c r="Y98" s="96"/>
      <c r="Z98" s="96"/>
    </row>
  </sheetData>
  <mergeCells count="109">
    <mergeCell ref="C5:I5"/>
    <mergeCell ref="J5:O5"/>
    <mergeCell ref="P5:Z5"/>
    <mergeCell ref="C6:Z6"/>
    <mergeCell ref="C7:Z7"/>
    <mergeCell ref="C8:Z8"/>
    <mergeCell ref="C17:I17"/>
    <mergeCell ref="J17:W17"/>
    <mergeCell ref="X17:Z17"/>
    <mergeCell ref="A18:A25"/>
    <mergeCell ref="C22:J22"/>
    <mergeCell ref="K22:O22"/>
    <mergeCell ref="P22:Z22"/>
    <mergeCell ref="C23:J23"/>
    <mergeCell ref="K23:O23"/>
    <mergeCell ref="P23:Z23"/>
    <mergeCell ref="A10:A17"/>
    <mergeCell ref="C14:J14"/>
    <mergeCell ref="K14:U14"/>
    <mergeCell ref="V14:Z14"/>
    <mergeCell ref="C15:J15"/>
    <mergeCell ref="K15:U15"/>
    <mergeCell ref="V15:Z15"/>
    <mergeCell ref="C16:I16"/>
    <mergeCell ref="J16:W16"/>
    <mergeCell ref="X16:Z16"/>
    <mergeCell ref="C24:I24"/>
    <mergeCell ref="J24:T24"/>
    <mergeCell ref="U24:Z24"/>
    <mergeCell ref="C25:I25"/>
    <mergeCell ref="J25:T25"/>
    <mergeCell ref="A26:A33"/>
    <mergeCell ref="C30:Z30"/>
    <mergeCell ref="C31:Z31"/>
    <mergeCell ref="C32:K32"/>
    <mergeCell ref="L32:S32"/>
    <mergeCell ref="T32:Z32"/>
    <mergeCell ref="C33:K33"/>
    <mergeCell ref="L33:S33"/>
    <mergeCell ref="T33:Z33"/>
    <mergeCell ref="A35:A41"/>
    <mergeCell ref="C38:Z38"/>
    <mergeCell ref="C39:Z39"/>
    <mergeCell ref="C40:Z40"/>
    <mergeCell ref="C41:Z41"/>
    <mergeCell ref="C49:L49"/>
    <mergeCell ref="M49:X49"/>
    <mergeCell ref="Y49:Z49"/>
    <mergeCell ref="A51:A57"/>
    <mergeCell ref="C54:J54"/>
    <mergeCell ref="K54:S54"/>
    <mergeCell ref="T54:Z54"/>
    <mergeCell ref="C55:Z55"/>
    <mergeCell ref="C56:J56"/>
    <mergeCell ref="K56:S56"/>
    <mergeCell ref="A43:A49"/>
    <mergeCell ref="C46:L46"/>
    <mergeCell ref="M46:X46"/>
    <mergeCell ref="Y46:Z46"/>
    <mergeCell ref="C47:L47"/>
    <mergeCell ref="M47:X47"/>
    <mergeCell ref="Y47:Z47"/>
    <mergeCell ref="C48:L48"/>
    <mergeCell ref="M48:X48"/>
    <mergeCell ref="Y48:Z48"/>
    <mergeCell ref="T56:Z56"/>
    <mergeCell ref="C57:J57"/>
    <mergeCell ref="K57:S57"/>
    <mergeCell ref="T57:Z57"/>
    <mergeCell ref="A58:A64"/>
    <mergeCell ref="C61:J61"/>
    <mergeCell ref="K61:P61"/>
    <mergeCell ref="Q61:Z61"/>
    <mergeCell ref="C62:Z62"/>
    <mergeCell ref="C63:J63"/>
    <mergeCell ref="K63:P63"/>
    <mergeCell ref="Q63:Z63"/>
    <mergeCell ref="C64:J64"/>
    <mergeCell ref="K64:P64"/>
    <mergeCell ref="Q64:Z64"/>
    <mergeCell ref="A65:A71"/>
    <mergeCell ref="C68:Z68"/>
    <mergeCell ref="C69:Z69"/>
    <mergeCell ref="C70:Z70"/>
    <mergeCell ref="C71:Z71"/>
    <mergeCell ref="A97:Z97"/>
    <mergeCell ref="A2:A8"/>
    <mergeCell ref="A88:A94"/>
    <mergeCell ref="C91:Z91"/>
    <mergeCell ref="C92:Z92"/>
    <mergeCell ref="C93:Z93"/>
    <mergeCell ref="C94:Z94"/>
    <mergeCell ref="A96:Z96"/>
    <mergeCell ref="K85:T85"/>
    <mergeCell ref="U85:Z85"/>
    <mergeCell ref="C86:J86"/>
    <mergeCell ref="K86:T86"/>
    <mergeCell ref="U86:Z86"/>
    <mergeCell ref="C87:Z87"/>
    <mergeCell ref="A73:A79"/>
    <mergeCell ref="C76:Z76"/>
    <mergeCell ref="C77:Z77"/>
    <mergeCell ref="C78:Z78"/>
    <mergeCell ref="C79:Z79"/>
    <mergeCell ref="A81:A87"/>
    <mergeCell ref="C84:J84"/>
    <mergeCell ref="K84:T84"/>
    <mergeCell ref="U84:Z84"/>
    <mergeCell ref="C85:J85"/>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LCZ</vt:lpstr>
      <vt:lpstr>Materials</vt:lpstr>
      <vt:lpstr>Internal heat gains</vt:lpstr>
      <vt:lpstr>Hourly schedules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Ariana</dc:creator>
  <cp:lastModifiedBy>chenlt</cp:lastModifiedBy>
  <dcterms:created xsi:type="dcterms:W3CDTF">2015-06-05T18:17:20Z</dcterms:created>
  <dcterms:modified xsi:type="dcterms:W3CDTF">2025-11-23T20:28:51Z</dcterms:modified>
</cp:coreProperties>
</file>